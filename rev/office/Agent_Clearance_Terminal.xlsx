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state="hidden" r:id="rId2"/>
    <sheet name="Sheet3" sheetId="3" state="hidden" r:id="rId3"/>
    <sheet name="Sheet4" sheetId="4" state="hidden" r:id="rId4"/>
  </sheets>
  <calcPr calcId="124519" fullCalcOnLoad="1"/>
</workbook>
</file>

<file path=xl/sharedStrings.xml><?xml version="1.0" encoding="utf-8"?>
<sst xmlns="http://schemas.openxmlformats.org/spreadsheetml/2006/main" count="99" uniqueCount="86">
  <si>
    <t>NORTHERN HEMISPHERE COMMAND</t>
  </si>
  <si>
    <t>Field terminal — offline clearance check.</t>
  </si>
  <si>
    <t>Flag</t>
  </si>
  <si>
    <t>STATUS</t>
  </si>
  <si>
    <t>k1</t>
  </si>
  <si>
    <t>k2</t>
  </si>
  <si>
    <t>k3</t>
  </si>
  <si>
    <t>k4</t>
  </si>
  <si>
    <t>k5</t>
  </si>
  <si>
    <t>k6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</si>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</sst>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20"/>
      <color rgb="FF1F3864"/>
      <name val="Calibri"/>
      <family val="2"/>
      <scheme val="minor"/>
    </font>
    <font>
      <i/>
      <sz val="11"/>
      <color rgb="FF5A6785"/>
      <name val="Calibri"/>
      <family val="2"/>
      <scheme val="minor"/>
    </font>
    <font>
      <b/>
      <sz val="11"/>
      <color rgb="FF16233A"/>
      <name val="Calibri"/>
      <family val="2"/>
      <scheme val="minor"/>
    </font>
    <font>
      <b/>
      <sz val="14"/>
      <color rgb="FF7A4B00"/>
      <name val="Courier New"/>
      <family val="2"/>
    </font>
    <font>
      <b/>
      <sz val="14"/>
      <color rgb="FF16233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44506B"/>
      <name val="Courier New"/>
      <family val="2"/>
    </font>
    <font>
      <b/>
      <sz val="9"/>
      <color rgb="FF16233A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6D8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9AA7C2"/>
      </left>
      <right style="thin">
        <color rgb="FF9AA7C2"/>
      </right>
      <top style="thin">
        <color rgb="FF9AA7C2"/>
      </top>
      <bottom style="thin">
        <color rgb="FF9AA7C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5" totalsRowShown="0">
  <autoFilter ref="A1:D65"/>
  <tableColumns count="4">
    <tableColumn id="1" name="k1"/>
    <tableColumn id="2" name="k2"/>
    <tableColumn id="3" name="k3"/>
    <tableColumn id="4" name="k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8"/>
  <sheetViews>
    <sheetView showGridLines="0" tabSelected="1" workbookViewId="0"/>
  </sheetViews>
  <sheetFormatPr defaultRowHeight="15"/>
  <cols>
    <col min="1" max="1" width="3.7109375" customWidth="1"/>
    <col min="2" max="2" width="20.7109375" customWidth="1"/>
    <col min="3" max="3" width="46.7109375" customWidth="1"/>
  </cols>
  <sheetData>
    <row r="2" spans="2:3" ht="28" customHeight="1">
      <c r="B2" s="1" t="s">
        <v>0</v>
      </c>
    </row>
    <row r="3" spans="2:3">
      <c r="B3" s="2" t="s">
        <v>1</v>
      </c>
    </row>
    <row r="6" spans="2:3" ht="26" customHeight="1">
      <c r="B6" s="3" t="s">
        <v>2</v>
      </c>
      <c r="C6" s="4"/>
    </row>
    <row r="8" spans="2:3" ht="26" customHeight="1">
      <c r="B8" s="3" t="s">
        <v>3</v>
      </c>
      <c r="C8" s="5" t="str">
        <f>IF(Sheet3!$BX$2=1,"● ACCESS GRANTED","● ACCESS DENIED")</f>
        <v>● ACCESS DENIED</v>
      </c>
    </row>
  </sheetData>
  <sheetProtection sheet="1" objects="1" scenarios="1"/>
  <conditionalFormatting sqref="C8">
    <cfRule type="expression" dxfId="0" priority="1">
      <formula>ISNUMBER(SEARCH("GRANTED",$C$8))</formula>
    </cfRule>
    <cfRule type="expression" dxfId="1" priority="2">
      <formula>NOT(ISNUMBER(SEARCH("GRANTED",$C$8)))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4" width="9.7109375" customWidth="1"/>
    <col min="6" max="6" width="9.7109375" customWidth="1"/>
    <col min="8" max="8" width="40.7109375" customWidth="1"/>
  </cols>
  <sheetData>
    <row r="1" spans="1:8">
      <c r="A1" t="s">
        <v>4</v>
      </c>
      <c r="B1" t="s">
        <v>5</v>
      </c>
      <c r="C1" t="s">
        <v>6</v>
      </c>
      <c r="D1" t="s">
        <v>7</v>
      </c>
      <c r="F1" s="6" t="s">
        <v>8</v>
      </c>
      <c r="H1" s="6" t="s">
        <v>9</v>
      </c>
    </row>
    <row r="2" spans="1:8">
      <c r="A2" s="7">
        <v>0</v>
      </c>
      <c r="B2" s="7">
        <v>3614090360</v>
      </c>
      <c r="C2" s="7">
        <v>7</v>
      </c>
      <c r="D2" s="7">
        <v>0</v>
      </c>
      <c r="F2" s="7">
        <v>214</v>
      </c>
      <c r="H2" s="7" t="str">
        <f>LEFT(Sheet1!$C$6&amp;REPT("?",30),30)</f>
        <v>??????????????????????????????</v>
      </c>
    </row>
    <row r="3" spans="1:8">
      <c r="A3" s="7">
        <v>1</v>
      </c>
      <c r="B3" s="7">
        <v>3905402710</v>
      </c>
      <c r="C3" s="7">
        <v>12</v>
      </c>
      <c r="D3" s="7">
        <v>1</v>
      </c>
      <c r="F3" s="7">
        <v>149</v>
      </c>
    </row>
    <row r="4" spans="1:8">
      <c r="A4" s="7">
        <v>2</v>
      </c>
      <c r="B4" s="7">
        <v>606105819</v>
      </c>
      <c r="C4" s="7">
        <v>17</v>
      </c>
      <c r="D4" s="7">
        <v>2</v>
      </c>
      <c r="F4" s="7">
        <v>200</v>
      </c>
    </row>
    <row r="5" spans="1:8">
      <c r="A5" s="7">
        <v>3</v>
      </c>
      <c r="B5" s="7">
        <v>3250441966</v>
      </c>
      <c r="C5" s="7">
        <v>22</v>
      </c>
      <c r="D5" s="7">
        <v>3</v>
      </c>
      <c r="F5" s="7">
        <v>192</v>
      </c>
    </row>
    <row r="6" spans="1:8">
      <c r="A6" s="7">
        <v>4</v>
      </c>
      <c r="B6" s="7">
        <v>4118548399</v>
      </c>
      <c r="C6" s="7">
        <v>7</v>
      </c>
      <c r="D6" s="7">
        <v>4</v>
      </c>
      <c r="F6" s="7">
        <v>250</v>
      </c>
    </row>
    <row r="7" spans="1:8">
      <c r="A7" s="7">
        <v>5</v>
      </c>
      <c r="B7" s="7">
        <v>1200080426</v>
      </c>
      <c r="C7" s="7">
        <v>12</v>
      </c>
      <c r="D7" s="7">
        <v>5</v>
      </c>
      <c r="F7" s="7">
        <v>214</v>
      </c>
    </row>
    <row r="8" spans="1:8">
      <c r="A8" s="7">
        <v>6</v>
      </c>
      <c r="B8" s="7">
        <v>2821735955</v>
      </c>
      <c r="C8" s="7">
        <v>17</v>
      </c>
      <c r="D8" s="7">
        <v>6</v>
      </c>
      <c r="F8" s="7">
        <v>203</v>
      </c>
    </row>
    <row r="9" spans="1:8">
      <c r="A9" s="7">
        <v>7</v>
      </c>
      <c r="B9" s="7">
        <v>4249261313</v>
      </c>
      <c r="C9" s="7">
        <v>22</v>
      </c>
      <c r="D9" s="7">
        <v>7</v>
      </c>
      <c r="F9" s="7">
        <v>150</v>
      </c>
    </row>
    <row r="10" spans="1:8">
      <c r="A10" s="7">
        <v>8</v>
      </c>
      <c r="B10" s="7">
        <v>1770035416</v>
      </c>
      <c r="C10" s="7">
        <v>7</v>
      </c>
      <c r="D10" s="7">
        <v>8</v>
      </c>
      <c r="F10" s="7">
        <v>145</v>
      </c>
    </row>
    <row r="11" spans="1:8">
      <c r="A11" s="7">
        <v>9</v>
      </c>
      <c r="B11" s="7">
        <v>2336552879</v>
      </c>
      <c r="C11" s="7">
        <v>12</v>
      </c>
      <c r="D11" s="7">
        <v>9</v>
      </c>
      <c r="F11" s="7">
        <v>206</v>
      </c>
    </row>
    <row r="12" spans="1:8">
      <c r="A12" s="7">
        <v>10</v>
      </c>
      <c r="B12" s="7">
        <v>4294925233</v>
      </c>
      <c r="C12" s="7">
        <v>17</v>
      </c>
      <c r="D12" s="7">
        <v>10</v>
      </c>
      <c r="F12" s="7">
        <v>220</v>
      </c>
    </row>
    <row r="13" spans="1:8">
      <c r="A13" s="7">
        <v>11</v>
      </c>
      <c r="B13" s="7">
        <v>2304563134</v>
      </c>
      <c r="C13" s="7">
        <v>22</v>
      </c>
      <c r="D13" s="7">
        <v>11</v>
      </c>
      <c r="F13" s="7">
        <v>250</v>
      </c>
    </row>
    <row r="14" spans="1:8">
      <c r="A14" s="7">
        <v>12</v>
      </c>
      <c r="B14" s="7">
        <v>1804603682</v>
      </c>
      <c r="C14" s="7">
        <v>7</v>
      </c>
      <c r="D14" s="7">
        <v>12</v>
      </c>
      <c r="F14" s="7">
        <v>214</v>
      </c>
    </row>
    <row r="15" spans="1:8">
      <c r="A15" s="7">
        <v>13</v>
      </c>
      <c r="B15" s="7">
        <v>4254626195</v>
      </c>
      <c r="C15" s="7">
        <v>12</v>
      </c>
      <c r="D15" s="7">
        <v>13</v>
      </c>
      <c r="F15" s="7">
        <v>145</v>
      </c>
    </row>
    <row r="16" spans="1:8">
      <c r="A16" s="7">
        <v>14</v>
      </c>
      <c r="B16" s="7">
        <v>2792965006</v>
      </c>
      <c r="C16" s="7">
        <v>17</v>
      </c>
      <c r="D16" s="7">
        <v>14</v>
      </c>
      <c r="F16" s="7">
        <v>201</v>
      </c>
    </row>
    <row r="17" spans="1:6">
      <c r="A17" s="7">
        <v>15</v>
      </c>
      <c r="B17" s="7">
        <v>1236535329</v>
      </c>
      <c r="C17" s="7">
        <v>22</v>
      </c>
      <c r="D17" s="7">
        <v>15</v>
      </c>
      <c r="F17" s="7">
        <v>209</v>
      </c>
    </row>
    <row r="18" spans="1:6">
      <c r="A18" s="7">
        <v>16</v>
      </c>
      <c r="B18" s="7">
        <v>4129170786</v>
      </c>
      <c r="C18" s="7">
        <v>5</v>
      </c>
      <c r="D18" s="7">
        <v>1</v>
      </c>
    </row>
    <row r="19" spans="1:6">
      <c r="A19" s="7">
        <v>17</v>
      </c>
      <c r="B19" s="7">
        <v>3225465664</v>
      </c>
      <c r="C19" s="7">
        <v>9</v>
      </c>
      <c r="D19" s="7">
        <v>6</v>
      </c>
    </row>
    <row r="20" spans="1:6">
      <c r="A20" s="7">
        <v>18</v>
      </c>
      <c r="B20" s="7">
        <v>643717713</v>
      </c>
      <c r="C20" s="7">
        <v>14</v>
      </c>
      <c r="D20" s="7">
        <v>11</v>
      </c>
    </row>
    <row r="21" spans="1:6">
      <c r="A21" s="7">
        <v>19</v>
      </c>
      <c r="B21" s="7">
        <v>3921069994</v>
      </c>
      <c r="C21" s="7">
        <v>20</v>
      </c>
      <c r="D21" s="7">
        <v>0</v>
      </c>
    </row>
    <row r="22" spans="1:6">
      <c r="A22" s="7">
        <v>20</v>
      </c>
      <c r="B22" s="7">
        <v>3593408605</v>
      </c>
      <c r="C22" s="7">
        <v>5</v>
      </c>
      <c r="D22" s="7">
        <v>5</v>
      </c>
    </row>
    <row r="23" spans="1:6">
      <c r="A23" s="7">
        <v>21</v>
      </c>
      <c r="B23" s="7">
        <v>38016083</v>
      </c>
      <c r="C23" s="7">
        <v>9</v>
      </c>
      <c r="D23" s="7">
        <v>10</v>
      </c>
    </row>
    <row r="24" spans="1:6">
      <c r="A24" s="7">
        <v>22</v>
      </c>
      <c r="B24" s="7">
        <v>3634488961</v>
      </c>
      <c r="C24" s="7">
        <v>14</v>
      </c>
      <c r="D24" s="7">
        <v>15</v>
      </c>
    </row>
    <row r="25" spans="1:6">
      <c r="A25" s="7">
        <v>23</v>
      </c>
      <c r="B25" s="7">
        <v>3889429448</v>
      </c>
      <c r="C25" s="7">
        <v>20</v>
      </c>
      <c r="D25" s="7">
        <v>4</v>
      </c>
    </row>
    <row r="26" spans="1:6">
      <c r="A26" s="7">
        <v>24</v>
      </c>
      <c r="B26" s="7">
        <v>568446438</v>
      </c>
      <c r="C26" s="7">
        <v>5</v>
      </c>
      <c r="D26" s="7">
        <v>9</v>
      </c>
    </row>
    <row r="27" spans="1:6">
      <c r="A27" s="7">
        <v>25</v>
      </c>
      <c r="B27" s="7">
        <v>3275163606</v>
      </c>
      <c r="C27" s="7">
        <v>9</v>
      </c>
      <c r="D27" s="7">
        <v>14</v>
      </c>
    </row>
    <row r="28" spans="1:6">
      <c r="A28" s="7">
        <v>26</v>
      </c>
      <c r="B28" s="7">
        <v>4107603335</v>
      </c>
      <c r="C28" s="7">
        <v>14</v>
      </c>
      <c r="D28" s="7">
        <v>3</v>
      </c>
    </row>
    <row r="29" spans="1:6">
      <c r="A29" s="7">
        <v>27</v>
      </c>
      <c r="B29" s="7">
        <v>1163531501</v>
      </c>
      <c r="C29" s="7">
        <v>20</v>
      </c>
      <c r="D29" s="7">
        <v>8</v>
      </c>
    </row>
    <row r="30" spans="1:6">
      <c r="A30" s="7">
        <v>28</v>
      </c>
      <c r="B30" s="7">
        <v>2850285829</v>
      </c>
      <c r="C30" s="7">
        <v>5</v>
      </c>
      <c r="D30" s="7">
        <v>13</v>
      </c>
    </row>
    <row r="31" spans="1:6">
      <c r="A31" s="7">
        <v>29</v>
      </c>
      <c r="B31" s="7">
        <v>4243563512</v>
      </c>
      <c r="C31" s="7">
        <v>9</v>
      </c>
      <c r="D31" s="7">
        <v>2</v>
      </c>
    </row>
    <row r="32" spans="1:6">
      <c r="A32" s="7">
        <v>30</v>
      </c>
      <c r="B32" s="7">
        <v>1735328473</v>
      </c>
      <c r="C32" s="7">
        <v>14</v>
      </c>
      <c r="D32" s="7">
        <v>7</v>
      </c>
    </row>
    <row r="33" spans="1:4">
      <c r="A33" s="7">
        <v>31</v>
      </c>
      <c r="B33" s="7">
        <v>2368359562</v>
      </c>
      <c r="C33" s="7">
        <v>20</v>
      </c>
      <c r="D33" s="7">
        <v>12</v>
      </c>
    </row>
    <row r="34" spans="1:4">
      <c r="A34" s="7">
        <v>32</v>
      </c>
      <c r="B34" s="7">
        <v>4294588738</v>
      </c>
      <c r="C34" s="7">
        <v>4</v>
      </c>
      <c r="D34" s="7">
        <v>5</v>
      </c>
    </row>
    <row r="35" spans="1:4">
      <c r="A35" s="7">
        <v>33</v>
      </c>
      <c r="B35" s="7">
        <v>2272392833</v>
      </c>
      <c r="C35" s="7">
        <v>11</v>
      </c>
      <c r="D35" s="7">
        <v>8</v>
      </c>
    </row>
    <row r="36" spans="1:4">
      <c r="A36" s="7">
        <v>34</v>
      </c>
      <c r="B36" s="7">
        <v>1839030562</v>
      </c>
      <c r="C36" s="7">
        <v>16</v>
      </c>
      <c r="D36" s="7">
        <v>11</v>
      </c>
    </row>
    <row r="37" spans="1:4">
      <c r="A37" s="7">
        <v>35</v>
      </c>
      <c r="B37" s="7">
        <v>4259657740</v>
      </c>
      <c r="C37" s="7">
        <v>23</v>
      </c>
      <c r="D37" s="7">
        <v>14</v>
      </c>
    </row>
    <row r="38" spans="1:4">
      <c r="A38" s="7">
        <v>36</v>
      </c>
      <c r="B38" s="7">
        <v>2763975236</v>
      </c>
      <c r="C38" s="7">
        <v>4</v>
      </c>
      <c r="D38" s="7">
        <v>1</v>
      </c>
    </row>
    <row r="39" spans="1:4">
      <c r="A39" s="7">
        <v>37</v>
      </c>
      <c r="B39" s="7">
        <v>1272893353</v>
      </c>
      <c r="C39" s="7">
        <v>11</v>
      </c>
      <c r="D39" s="7">
        <v>4</v>
      </c>
    </row>
    <row r="40" spans="1:4">
      <c r="A40" s="7">
        <v>38</v>
      </c>
      <c r="B40" s="7">
        <v>4139469664</v>
      </c>
      <c r="C40" s="7">
        <v>16</v>
      </c>
      <c r="D40" s="7">
        <v>7</v>
      </c>
    </row>
    <row r="41" spans="1:4">
      <c r="A41" s="7">
        <v>39</v>
      </c>
      <c r="B41" s="7">
        <v>3200236656</v>
      </c>
      <c r="C41" s="7">
        <v>23</v>
      </c>
      <c r="D41" s="7">
        <v>10</v>
      </c>
    </row>
    <row r="42" spans="1:4">
      <c r="A42" s="7">
        <v>40</v>
      </c>
      <c r="B42" s="7">
        <v>681279174</v>
      </c>
      <c r="C42" s="7">
        <v>4</v>
      </c>
      <c r="D42" s="7">
        <v>13</v>
      </c>
    </row>
    <row r="43" spans="1:4">
      <c r="A43" s="7">
        <v>41</v>
      </c>
      <c r="B43" s="7">
        <v>3936430074</v>
      </c>
      <c r="C43" s="7">
        <v>11</v>
      </c>
      <c r="D43" s="7">
        <v>0</v>
      </c>
    </row>
    <row r="44" spans="1:4">
      <c r="A44" s="7">
        <v>42</v>
      </c>
      <c r="B44" s="7">
        <v>3572445317</v>
      </c>
      <c r="C44" s="7">
        <v>16</v>
      </c>
      <c r="D44" s="7">
        <v>3</v>
      </c>
    </row>
    <row r="45" spans="1:4">
      <c r="A45" s="7">
        <v>43</v>
      </c>
      <c r="B45" s="7">
        <v>76029189</v>
      </c>
      <c r="C45" s="7">
        <v>23</v>
      </c>
      <c r="D45" s="7">
        <v>6</v>
      </c>
    </row>
    <row r="46" spans="1:4">
      <c r="A46" s="7">
        <v>44</v>
      </c>
      <c r="B46" s="7">
        <v>3654602809</v>
      </c>
      <c r="C46" s="7">
        <v>4</v>
      </c>
      <c r="D46" s="7">
        <v>9</v>
      </c>
    </row>
    <row r="47" spans="1:4">
      <c r="A47" s="7">
        <v>45</v>
      </c>
      <c r="B47" s="7">
        <v>3873151461</v>
      </c>
      <c r="C47" s="7">
        <v>11</v>
      </c>
      <c r="D47" s="7">
        <v>12</v>
      </c>
    </row>
    <row r="48" spans="1:4">
      <c r="A48" s="7">
        <v>46</v>
      </c>
      <c r="B48" s="7">
        <v>530742520</v>
      </c>
      <c r="C48" s="7">
        <v>16</v>
      </c>
      <c r="D48" s="7">
        <v>15</v>
      </c>
    </row>
    <row r="49" spans="1:4">
      <c r="A49" s="7">
        <v>47</v>
      </c>
      <c r="B49" s="7">
        <v>3299628645</v>
      </c>
      <c r="C49" s="7">
        <v>23</v>
      </c>
      <c r="D49" s="7">
        <v>2</v>
      </c>
    </row>
    <row r="50" spans="1:4">
      <c r="A50" s="7">
        <v>48</v>
      </c>
      <c r="B50" s="7">
        <v>4096336452</v>
      </c>
      <c r="C50" s="7">
        <v>6</v>
      </c>
      <c r="D50" s="7">
        <v>0</v>
      </c>
    </row>
    <row r="51" spans="1:4">
      <c r="A51" s="7">
        <v>49</v>
      </c>
      <c r="B51" s="7">
        <v>1126891415</v>
      </c>
      <c r="C51" s="7">
        <v>10</v>
      </c>
      <c r="D51" s="7">
        <v>7</v>
      </c>
    </row>
    <row r="52" spans="1:4">
      <c r="A52" s="7">
        <v>50</v>
      </c>
      <c r="B52" s="7">
        <v>2878612391</v>
      </c>
      <c r="C52" s="7">
        <v>15</v>
      </c>
      <c r="D52" s="7">
        <v>14</v>
      </c>
    </row>
    <row r="53" spans="1:4">
      <c r="A53" s="7">
        <v>51</v>
      </c>
      <c r="B53" s="7">
        <v>4237533241</v>
      </c>
      <c r="C53" s="7">
        <v>21</v>
      </c>
      <c r="D53" s="7">
        <v>5</v>
      </c>
    </row>
    <row r="54" spans="1:4">
      <c r="A54" s="7">
        <v>52</v>
      </c>
      <c r="B54" s="7">
        <v>1700485571</v>
      </c>
      <c r="C54" s="7">
        <v>6</v>
      </c>
      <c r="D54" s="7">
        <v>12</v>
      </c>
    </row>
    <row r="55" spans="1:4">
      <c r="A55" s="7">
        <v>53</v>
      </c>
      <c r="B55" s="7">
        <v>2399980690</v>
      </c>
      <c r="C55" s="7">
        <v>10</v>
      </c>
      <c r="D55" s="7">
        <v>3</v>
      </c>
    </row>
    <row r="56" spans="1:4">
      <c r="A56" s="7">
        <v>54</v>
      </c>
      <c r="B56" s="7">
        <v>4293915773</v>
      </c>
      <c r="C56" s="7">
        <v>15</v>
      </c>
      <c r="D56" s="7">
        <v>10</v>
      </c>
    </row>
    <row r="57" spans="1:4">
      <c r="A57" s="7">
        <v>55</v>
      </c>
      <c r="B57" s="7">
        <v>2240044497</v>
      </c>
      <c r="C57" s="7">
        <v>21</v>
      </c>
      <c r="D57" s="7">
        <v>1</v>
      </c>
    </row>
    <row r="58" spans="1:4">
      <c r="A58" s="7">
        <v>56</v>
      </c>
      <c r="B58" s="7">
        <v>1873313359</v>
      </c>
      <c r="C58" s="7">
        <v>6</v>
      </c>
      <c r="D58" s="7">
        <v>8</v>
      </c>
    </row>
    <row r="59" spans="1:4">
      <c r="A59" s="7">
        <v>57</v>
      </c>
      <c r="B59" s="7">
        <v>4264355552</v>
      </c>
      <c r="C59" s="7">
        <v>10</v>
      </c>
      <c r="D59" s="7">
        <v>15</v>
      </c>
    </row>
    <row r="60" spans="1:4">
      <c r="A60" s="7">
        <v>58</v>
      </c>
      <c r="B60" s="7">
        <v>2734768916</v>
      </c>
      <c r="C60" s="7">
        <v>15</v>
      </c>
      <c r="D60" s="7">
        <v>6</v>
      </c>
    </row>
    <row r="61" spans="1:4">
      <c r="A61" s="7">
        <v>59</v>
      </c>
      <c r="B61" s="7">
        <v>1309151649</v>
      </c>
      <c r="C61" s="7">
        <v>21</v>
      </c>
      <c r="D61" s="7">
        <v>13</v>
      </c>
    </row>
    <row r="62" spans="1:4">
      <c r="A62" s="7">
        <v>60</v>
      </c>
      <c r="B62" s="7">
        <v>4149444226</v>
      </c>
      <c r="C62" s="7">
        <v>6</v>
      </c>
      <c r="D62" s="7">
        <v>4</v>
      </c>
    </row>
    <row r="63" spans="1:4">
      <c r="A63" s="7">
        <v>61</v>
      </c>
      <c r="B63" s="7">
        <v>3174756917</v>
      </c>
      <c r="C63" s="7">
        <v>10</v>
      </c>
      <c r="D63" s="7">
        <v>11</v>
      </c>
    </row>
    <row r="64" spans="1:4">
      <c r="A64" s="7">
        <v>62</v>
      </c>
      <c r="B64" s="7">
        <v>718787259</v>
      </c>
      <c r="C64" s="7">
        <v>15</v>
      </c>
      <c r="D64" s="7">
        <v>2</v>
      </c>
    </row>
    <row r="65" spans="1:4">
      <c r="A65" s="7">
        <v>63</v>
      </c>
      <c r="B65" s="7">
        <v>3951481745</v>
      </c>
      <c r="C65" s="7">
        <v>21</v>
      </c>
      <c r="D65" s="7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X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6.7109375" customWidth="1"/>
    <col min="3" max="50" width="5.7109375" customWidth="1"/>
    <col min="51" max="76" width="12.7109375" customWidth="1"/>
  </cols>
  <sheetData>
    <row r="1" spans="1:76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6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6" t="s">
        <v>34</v>
      </c>
      <c r="Z1" s="6" t="s">
        <v>35</v>
      </c>
      <c r="AA1" s="6" t="s">
        <v>36</v>
      </c>
      <c r="AB1" s="6" t="s">
        <v>37</v>
      </c>
      <c r="AC1" s="6" t="s">
        <v>38</v>
      </c>
      <c r="AD1" s="6" t="s">
        <v>39</v>
      </c>
      <c r="AE1" s="6" t="s">
        <v>40</v>
      </c>
      <c r="AF1" s="6" t="s">
        <v>41</v>
      </c>
      <c r="AG1" s="6" t="s">
        <v>42</v>
      </c>
      <c r="AH1" s="6" t="s">
        <v>43</v>
      </c>
      <c r="AI1" s="6" t="s">
        <v>44</v>
      </c>
      <c r="AJ1" s="6" t="s">
        <v>45</v>
      </c>
      <c r="AK1" s="6" t="s">
        <v>46</v>
      </c>
      <c r="AL1" s="6" t="s">
        <v>47</v>
      </c>
      <c r="AM1" s="6" t="s">
        <v>48</v>
      </c>
      <c r="AN1" s="6" t="s">
        <v>49</v>
      </c>
      <c r="AO1" s="6" t="s">
        <v>50</v>
      </c>
      <c r="AP1" s="6" t="s">
        <v>51</v>
      </c>
      <c r="AQ1" s="6" t="s">
        <v>52</v>
      </c>
      <c r="AR1" s="6" t="s">
        <v>53</v>
      </c>
      <c r="AS1" s="6" t="s">
        <v>54</v>
      </c>
      <c r="AT1" s="6" t="s">
        <v>55</v>
      </c>
      <c r="AU1" s="6" t="s">
        <v>56</v>
      </c>
      <c r="AV1" s="6" t="s">
        <v>57</v>
      </c>
      <c r="AW1" s="6" t="s">
        <v>58</v>
      </c>
      <c r="AX1" s="6" t="s">
        <v>59</v>
      </c>
      <c r="AY1" s="6" t="s">
        <v>60</v>
      </c>
      <c r="AZ1" s="6" t="s">
        <v>61</v>
      </c>
      <c r="BA1" s="6" t="s">
        <v>62</v>
      </c>
      <c r="BB1" s="6" t="s">
        <v>63</v>
      </c>
      <c r="BC1" s="6" t="s">
        <v>64</v>
      </c>
      <c r="BD1" s="6" t="s">
        <v>65</v>
      </c>
      <c r="BE1" s="6" t="s">
        <v>66</v>
      </c>
      <c r="BF1" s="6" t="s">
        <v>67</v>
      </c>
      <c r="BG1" s="6" t="s">
        <v>68</v>
      </c>
      <c r="BH1" s="6" t="s">
        <v>69</v>
      </c>
      <c r="BI1" s="6" t="s">
        <v>70</v>
      </c>
      <c r="BJ1" s="6" t="s">
        <v>71</v>
      </c>
      <c r="BK1" s="6" t="s">
        <v>72</v>
      </c>
      <c r="BL1" s="6" t="s">
        <v>73</v>
      </c>
      <c r="BM1" s="6" t="s">
        <v>74</v>
      </c>
      <c r="BN1" s="6" t="s">
        <v>75</v>
      </c>
      <c r="BO1" s="6" t="s">
        <v>76</v>
      </c>
      <c r="BP1" s="6" t="s">
        <v>77</v>
      </c>
      <c r="BQ1" s="6" t="s">
        <v>78</v>
      </c>
      <c r="BR1" s="6" t="s">
        <v>79</v>
      </c>
      <c r="BS1" s="6" t="s">
        <v>80</v>
      </c>
      <c r="BT1" s="6" t="s">
        <v>81</v>
      </c>
      <c r="BU1" s="6" t="s">
        <v>82</v>
      </c>
      <c r="BV1" s="6" t="s">
        <v>83</v>
      </c>
      <c r="BW1" s="6" t="s">
        <v>84</v>
      </c>
      <c r="BX1" s="6" t="s">
        <v>85</v>
      </c>
    </row>
    <row r="2" spans="1:76">
      <c r="A2" s="7">
        <v>1</v>
      </c>
      <c r="B2" s="7">
        <f>COUNT(Sheet2!$F$2:$F$17)+COUNT($C2:$E2)</f>
        <v>19</v>
      </c>
      <c r="C2" s="7">
        <f>CODE(MID(Sheet2!$H$2,$A2,1))</f>
        <v>63</v>
      </c>
      <c r="D2" s="7">
        <f>CODE(MID(Sheet2!$H$2,$A2+10,1))</f>
        <v>63</v>
      </c>
      <c r="E2" s="7">
        <f>CODE(MID(Sheet2!$H$2,$A2+20,1))</f>
        <v>63</v>
      </c>
      <c r="F2" s="7">
        <v>128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f>MOD(INT($B2*8/256^0),256)</f>
        <v>152</v>
      </c>
      <c r="AR2" s="7">
        <f>MOD(INT($B2*8/256^1),256)</f>
        <v>0</v>
      </c>
      <c r="AS2" s="7">
        <f>MOD(INT($B2*8/256^2),256)</f>
        <v>0</v>
      </c>
      <c r="AT2" s="7">
        <f>MOD(INT($B2*8/256^3),256)</f>
        <v>0</v>
      </c>
      <c r="AU2" s="7">
        <f>MOD(INT($B2*8/256^4),256)</f>
        <v>0</v>
      </c>
      <c r="AV2" s="7">
        <f>MOD(INT($B2*8/256^5),256)</f>
        <v>0</v>
      </c>
      <c r="AW2" s="7">
        <f>MOD(INT($B2*8/256^6),256)</f>
        <v>0</v>
      </c>
      <c r="AX2" s="7">
        <f>MOD(INT($B2*8/256^7),256)</f>
        <v>0</v>
      </c>
      <c r="AY2" s="7">
        <f>_xlfn.BITXOR(Sheet2!$F$2,165)+_xlfn.BITXOR(Sheet2!$F$3,165)*256+_xlfn.BITXOR(Sheet2!$F$4,165)*65536+_xlfn.BITXOR(Sheet2!$F$5,165)*16777216</f>
        <v>1701654643</v>
      </c>
      <c r="AZ2" s="7">
        <f>_xlfn.BITXOR(Sheet2!$F$6,165)+_xlfn.BITXOR(Sheet2!$F$7,165)*256+_xlfn.BITXOR(Sheet2!$F$8,165)*65536+_xlfn.BITXOR(Sheet2!$F$9,165)*16777216</f>
        <v>862876511</v>
      </c>
      <c r="BA2" s="7">
        <f>_xlfn.BITXOR(Sheet2!$F$10,165)+_xlfn.BITXOR(Sheet2!$F$11,165)*256+_xlfn.BITXOR(Sheet2!$F$12,165)*65536+_xlfn.BITXOR(Sheet2!$F$13,165)*16777216</f>
        <v>1601792820</v>
      </c>
      <c r="BB2" s="7">
        <f>_xlfn.BITXOR(Sheet2!$F$14,165)+_xlfn.BITXOR(Sheet2!$F$15,165)*256+_xlfn.BITXOR(Sheet2!$F$16,165)*65536+_xlfn.BITXOR(Sheet2!$F$17,165)*16777216</f>
        <v>1953248371</v>
      </c>
      <c r="BC2" s="7">
        <f>C2+D2*256+E2*65536+F2*16777216</f>
        <v>2151628607</v>
      </c>
      <c r="BD2" s="7">
        <f>G2+H2*256+I2*65536+J2*16777216</f>
        <v>0</v>
      </c>
      <c r="BE2" s="7">
        <f>K2+L2*256+M2*65536+N2*16777216</f>
        <v>0</v>
      </c>
      <c r="BF2" s="7">
        <f>O2+P2*256+Q2*65536+R2*16777216</f>
        <v>0</v>
      </c>
      <c r="BG2" s="7">
        <f>S2+T2*256+U2*65536+V2*16777216</f>
        <v>0</v>
      </c>
      <c r="BH2" s="7">
        <f>W2+X2*256+Y2*65536+Z2*16777216</f>
        <v>0</v>
      </c>
      <c r="BI2" s="7">
        <f>AA2+AB2*256+AC2*65536+AD2*16777216</f>
        <v>0</v>
      </c>
      <c r="BJ2" s="7">
        <f>AE2+AF2*256+AG2*65536+AH2*16777216</f>
        <v>0</v>
      </c>
      <c r="BK2" s="7">
        <f>AI2+AJ2*256+AK2*65536+AL2*16777216</f>
        <v>0</v>
      </c>
      <c r="BL2" s="7">
        <f>AM2+AN2*256+AO2*65536+AP2*16777216</f>
        <v>0</v>
      </c>
      <c r="BM2" s="7">
        <f>AQ2+AR2*256+AS2*65536+AT2*16777216</f>
        <v>152</v>
      </c>
      <c r="BN2" s="7">
        <f>AU2+AV2*256+AW2*65536+AX2*16777216</f>
        <v>0</v>
      </c>
      <c r="BO2" s="7">
        <f>MOD(1732584193+Sheet4!$J$66,4294967296)</f>
        <v>2864597674</v>
      </c>
      <c r="BP2" s="7">
        <f>MOD(4023233417+Sheet4!$K$66,4294967296)</f>
        <v>3283020593</v>
      </c>
      <c r="BQ2" s="7">
        <f>MOD(2562383102+Sheet4!$L$66,4294967296)</f>
        <v>3317144422</v>
      </c>
      <c r="BR2" s="7">
        <f>MOD(271733878+Sheet4!$M$66,4294967296)</f>
        <v>2031522474</v>
      </c>
      <c r="BS2" s="7">
        <v>4072117587</v>
      </c>
      <c r="BT2" s="7">
        <v>1120387196</v>
      </c>
      <c r="BU2" s="7">
        <v>2102578019</v>
      </c>
      <c r="BV2" s="7">
        <v>85756587</v>
      </c>
      <c r="BW2" s="7">
        <f>IF(AND(BO2=BS2,BP2=BT2,BQ2=BU2,BR2=BV2),1,0)</f>
        <v>0</v>
      </c>
      <c r="BX2" s="7">
        <f>IF(AND(LEN(Sheet1!$C$6)=30,SUM($BW$2:$BW$11)=10),1,0)</f>
        <v>0</v>
      </c>
    </row>
    <row r="3" spans="1:76">
      <c r="A3" s="7">
        <v>2</v>
      </c>
      <c r="B3" s="7">
        <f>COUNT(Sheet2!$F$2:$F$17)+COUNT($C3:$E3)</f>
        <v>19</v>
      </c>
      <c r="C3" s="7">
        <f>CODE(MID(Sheet2!$H$2,$A3,1))</f>
        <v>63</v>
      </c>
      <c r="D3" s="7">
        <f>CODE(MID(Sheet2!$H$2,$A3+10,1))</f>
        <v>63</v>
      </c>
      <c r="E3" s="7">
        <f>CODE(MID(Sheet2!$H$2,$A3+20,1))</f>
        <v>63</v>
      </c>
      <c r="F3" s="7">
        <v>128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f>MOD(INT($B3*8/256^0),256)</f>
        <v>152</v>
      </c>
      <c r="AR3" s="7">
        <f>MOD(INT($B3*8/256^1),256)</f>
        <v>0</v>
      </c>
      <c r="AS3" s="7">
        <f>MOD(INT($B3*8/256^2),256)</f>
        <v>0</v>
      </c>
      <c r="AT3" s="7">
        <f>MOD(INT($B3*8/256^3),256)</f>
        <v>0</v>
      </c>
      <c r="AU3" s="7">
        <f>MOD(INT($B3*8/256^4),256)</f>
        <v>0</v>
      </c>
      <c r="AV3" s="7">
        <f>MOD(INT($B3*8/256^5),256)</f>
        <v>0</v>
      </c>
      <c r="AW3" s="7">
        <f>MOD(INT($B3*8/256^6),256)</f>
        <v>0</v>
      </c>
      <c r="AX3" s="7">
        <f>MOD(INT($B3*8/256^7),256)</f>
        <v>0</v>
      </c>
      <c r="AY3" s="7">
        <f>_xlfn.BITXOR(Sheet2!$F$2,165)+_xlfn.BITXOR(Sheet2!$F$3,165)*256+_xlfn.BITXOR(Sheet2!$F$4,165)*65536+_xlfn.BITXOR(Sheet2!$F$5,165)*16777216</f>
        <v>1701654643</v>
      </c>
      <c r="AZ3" s="7">
        <f>_xlfn.BITXOR(Sheet2!$F$6,165)+_xlfn.BITXOR(Sheet2!$F$7,165)*256+_xlfn.BITXOR(Sheet2!$F$8,165)*65536+_xlfn.BITXOR(Sheet2!$F$9,165)*16777216</f>
        <v>862876511</v>
      </c>
      <c r="BA3" s="7">
        <f>_xlfn.BITXOR(Sheet2!$F$10,165)+_xlfn.BITXOR(Sheet2!$F$11,165)*256+_xlfn.BITXOR(Sheet2!$F$12,165)*65536+_xlfn.BITXOR(Sheet2!$F$13,165)*16777216</f>
        <v>1601792820</v>
      </c>
      <c r="BB3" s="7">
        <f>_xlfn.BITXOR(Sheet2!$F$14,165)+_xlfn.BITXOR(Sheet2!$F$15,165)*256+_xlfn.BITXOR(Sheet2!$F$16,165)*65536+_xlfn.BITXOR(Sheet2!$F$17,165)*16777216</f>
        <v>1953248371</v>
      </c>
      <c r="BC3" s="7">
        <f>C3+D3*256+E3*65536+F3*16777216</f>
        <v>2151628607</v>
      </c>
      <c r="BD3" s="7">
        <f>G3+H3*256+I3*65536+J3*16777216</f>
        <v>0</v>
      </c>
      <c r="BE3" s="7">
        <f>K3+L3*256+M3*65536+N3*16777216</f>
        <v>0</v>
      </c>
      <c r="BF3" s="7">
        <f>O3+P3*256+Q3*65536+R3*16777216</f>
        <v>0</v>
      </c>
      <c r="BG3" s="7">
        <f>S3+T3*256+U3*65536+V3*16777216</f>
        <v>0</v>
      </c>
      <c r="BH3" s="7">
        <f>W3+X3*256+Y3*65536+Z3*16777216</f>
        <v>0</v>
      </c>
      <c r="BI3" s="7">
        <f>AA3+AB3*256+AC3*65536+AD3*16777216</f>
        <v>0</v>
      </c>
      <c r="BJ3" s="7">
        <f>AE3+AF3*256+AG3*65536+AH3*16777216</f>
        <v>0</v>
      </c>
      <c r="BK3" s="7">
        <f>AI3+AJ3*256+AK3*65536+AL3*16777216</f>
        <v>0</v>
      </c>
      <c r="BL3" s="7">
        <f>AM3+AN3*256+AO3*65536+AP3*16777216</f>
        <v>0</v>
      </c>
      <c r="BM3" s="7">
        <f>AQ3+AR3*256+AS3*65536+AT3*16777216</f>
        <v>152</v>
      </c>
      <c r="BN3" s="7">
        <f>AU3+AV3*256+AW3*65536+AX3*16777216</f>
        <v>0</v>
      </c>
      <c r="BO3" s="7">
        <f>MOD(1732584193+Sheet4!$J$131,4294967296)</f>
        <v>2864597674</v>
      </c>
      <c r="BP3" s="7">
        <f>MOD(4023233417+Sheet4!$K$131,4294967296)</f>
        <v>3283020593</v>
      </c>
      <c r="BQ3" s="7">
        <f>MOD(2562383102+Sheet4!$L$131,4294967296)</f>
        <v>3317144422</v>
      </c>
      <c r="BR3" s="7">
        <f>MOD(271733878+Sheet4!$M$131,4294967296)</f>
        <v>2031522474</v>
      </c>
      <c r="BS3" s="7">
        <v>3002749583</v>
      </c>
      <c r="BT3" s="7">
        <v>3716679707</v>
      </c>
      <c r="BU3" s="7">
        <v>3074522701</v>
      </c>
      <c r="BV3" s="7">
        <v>1912839214</v>
      </c>
      <c r="BW3" s="7">
        <f>IF(AND(BO3=BS3,BP3=BT3,BQ3=BU3,BR3=BV3),1,0)</f>
        <v>0</v>
      </c>
    </row>
    <row r="4" spans="1:76">
      <c r="A4" s="7">
        <v>3</v>
      </c>
      <c r="B4" s="7">
        <f>COUNT(Sheet2!$F$2:$F$17)+COUNT($C4:$E4)</f>
        <v>19</v>
      </c>
      <c r="C4" s="7">
        <f>CODE(MID(Sheet2!$H$2,$A4,1))</f>
        <v>63</v>
      </c>
      <c r="D4" s="7">
        <f>CODE(MID(Sheet2!$H$2,$A4+10,1))</f>
        <v>63</v>
      </c>
      <c r="E4" s="7">
        <f>CODE(MID(Sheet2!$H$2,$A4+20,1))</f>
        <v>63</v>
      </c>
      <c r="F4" s="7">
        <v>128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f>MOD(INT($B4*8/256^0),256)</f>
        <v>152</v>
      </c>
      <c r="AR4" s="7">
        <f>MOD(INT($B4*8/256^1),256)</f>
        <v>0</v>
      </c>
      <c r="AS4" s="7">
        <f>MOD(INT($B4*8/256^2),256)</f>
        <v>0</v>
      </c>
      <c r="AT4" s="7">
        <f>MOD(INT($B4*8/256^3),256)</f>
        <v>0</v>
      </c>
      <c r="AU4" s="7">
        <f>MOD(INT($B4*8/256^4),256)</f>
        <v>0</v>
      </c>
      <c r="AV4" s="7">
        <f>MOD(INT($B4*8/256^5),256)</f>
        <v>0</v>
      </c>
      <c r="AW4" s="7">
        <f>MOD(INT($B4*8/256^6),256)</f>
        <v>0</v>
      </c>
      <c r="AX4" s="7">
        <f>MOD(INT($B4*8/256^7),256)</f>
        <v>0</v>
      </c>
      <c r="AY4" s="7">
        <f>_xlfn.BITXOR(Sheet2!$F$2,165)+_xlfn.BITXOR(Sheet2!$F$3,165)*256+_xlfn.BITXOR(Sheet2!$F$4,165)*65536+_xlfn.BITXOR(Sheet2!$F$5,165)*16777216</f>
        <v>1701654643</v>
      </c>
      <c r="AZ4" s="7">
        <f>_xlfn.BITXOR(Sheet2!$F$6,165)+_xlfn.BITXOR(Sheet2!$F$7,165)*256+_xlfn.BITXOR(Sheet2!$F$8,165)*65536+_xlfn.BITXOR(Sheet2!$F$9,165)*16777216</f>
        <v>862876511</v>
      </c>
      <c r="BA4" s="7">
        <f>_xlfn.BITXOR(Sheet2!$F$10,165)+_xlfn.BITXOR(Sheet2!$F$11,165)*256+_xlfn.BITXOR(Sheet2!$F$12,165)*65536+_xlfn.BITXOR(Sheet2!$F$13,165)*16777216</f>
        <v>1601792820</v>
      </c>
      <c r="BB4" s="7">
        <f>_xlfn.BITXOR(Sheet2!$F$14,165)+_xlfn.BITXOR(Sheet2!$F$15,165)*256+_xlfn.BITXOR(Sheet2!$F$16,165)*65536+_xlfn.BITXOR(Sheet2!$F$17,165)*16777216</f>
        <v>1953248371</v>
      </c>
      <c r="BC4" s="7">
        <f>C4+D4*256+E4*65536+F4*16777216</f>
        <v>2151628607</v>
      </c>
      <c r="BD4" s="7">
        <f>G4+H4*256+I4*65536+J4*16777216</f>
        <v>0</v>
      </c>
      <c r="BE4" s="7">
        <f>K4+L4*256+M4*65536+N4*16777216</f>
        <v>0</v>
      </c>
      <c r="BF4" s="7">
        <f>O4+P4*256+Q4*65536+R4*16777216</f>
        <v>0</v>
      </c>
      <c r="BG4" s="7">
        <f>S4+T4*256+U4*65536+V4*16777216</f>
        <v>0</v>
      </c>
      <c r="BH4" s="7">
        <f>W4+X4*256+Y4*65536+Z4*16777216</f>
        <v>0</v>
      </c>
      <c r="BI4" s="7">
        <f>AA4+AB4*256+AC4*65536+AD4*16777216</f>
        <v>0</v>
      </c>
      <c r="BJ4" s="7">
        <f>AE4+AF4*256+AG4*65536+AH4*16777216</f>
        <v>0</v>
      </c>
      <c r="BK4" s="7">
        <f>AI4+AJ4*256+AK4*65536+AL4*16777216</f>
        <v>0</v>
      </c>
      <c r="BL4" s="7">
        <f>AM4+AN4*256+AO4*65536+AP4*16777216</f>
        <v>0</v>
      </c>
      <c r="BM4" s="7">
        <f>AQ4+AR4*256+AS4*65536+AT4*16777216</f>
        <v>152</v>
      </c>
      <c r="BN4" s="7">
        <f>AU4+AV4*256+AW4*65536+AX4*16777216</f>
        <v>0</v>
      </c>
      <c r="BO4" s="7">
        <f>MOD(1732584193+Sheet4!$J$196,4294967296)</f>
        <v>2864597674</v>
      </c>
      <c r="BP4" s="7">
        <f>MOD(4023233417+Sheet4!$K$196,4294967296)</f>
        <v>3283020593</v>
      </c>
      <c r="BQ4" s="7">
        <f>MOD(2562383102+Sheet4!$L$196,4294967296)</f>
        <v>3317144422</v>
      </c>
      <c r="BR4" s="7">
        <f>MOD(271733878+Sheet4!$M$196,4294967296)</f>
        <v>2031522474</v>
      </c>
      <c r="BS4" s="7">
        <v>1202946202</v>
      </c>
      <c r="BT4" s="7">
        <v>3060285146</v>
      </c>
      <c r="BU4" s="7">
        <v>3794539838</v>
      </c>
      <c r="BV4" s="7">
        <v>3225098655</v>
      </c>
      <c r="BW4" s="7">
        <f>IF(AND(BO4=BS4,BP4=BT4,BQ4=BU4,BR4=BV4),1,0)</f>
        <v>0</v>
      </c>
    </row>
    <row r="5" spans="1:76">
      <c r="A5" s="7">
        <v>4</v>
      </c>
      <c r="B5" s="7">
        <f>COUNT(Sheet2!$F$2:$F$17)+COUNT($C5:$E5)</f>
        <v>19</v>
      </c>
      <c r="C5" s="7">
        <f>CODE(MID(Sheet2!$H$2,$A5,1))</f>
        <v>63</v>
      </c>
      <c r="D5" s="7">
        <f>CODE(MID(Sheet2!$H$2,$A5+10,1))</f>
        <v>63</v>
      </c>
      <c r="E5" s="7">
        <f>CODE(MID(Sheet2!$H$2,$A5+20,1))</f>
        <v>63</v>
      </c>
      <c r="F5" s="7">
        <v>128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f>MOD(INT($B5*8/256^0),256)</f>
        <v>152</v>
      </c>
      <c r="AR5" s="7">
        <f>MOD(INT($B5*8/256^1),256)</f>
        <v>0</v>
      </c>
      <c r="AS5" s="7">
        <f>MOD(INT($B5*8/256^2),256)</f>
        <v>0</v>
      </c>
      <c r="AT5" s="7">
        <f>MOD(INT($B5*8/256^3),256)</f>
        <v>0</v>
      </c>
      <c r="AU5" s="7">
        <f>MOD(INT($B5*8/256^4),256)</f>
        <v>0</v>
      </c>
      <c r="AV5" s="7">
        <f>MOD(INT($B5*8/256^5),256)</f>
        <v>0</v>
      </c>
      <c r="AW5" s="7">
        <f>MOD(INT($B5*8/256^6),256)</f>
        <v>0</v>
      </c>
      <c r="AX5" s="7">
        <f>MOD(INT($B5*8/256^7),256)</f>
        <v>0</v>
      </c>
      <c r="AY5" s="7">
        <f>_xlfn.BITXOR(Sheet2!$F$2,165)+_xlfn.BITXOR(Sheet2!$F$3,165)*256+_xlfn.BITXOR(Sheet2!$F$4,165)*65536+_xlfn.BITXOR(Sheet2!$F$5,165)*16777216</f>
        <v>1701654643</v>
      </c>
      <c r="AZ5" s="7">
        <f>_xlfn.BITXOR(Sheet2!$F$6,165)+_xlfn.BITXOR(Sheet2!$F$7,165)*256+_xlfn.BITXOR(Sheet2!$F$8,165)*65536+_xlfn.BITXOR(Sheet2!$F$9,165)*16777216</f>
        <v>862876511</v>
      </c>
      <c r="BA5" s="7">
        <f>_xlfn.BITXOR(Sheet2!$F$10,165)+_xlfn.BITXOR(Sheet2!$F$11,165)*256+_xlfn.BITXOR(Sheet2!$F$12,165)*65536+_xlfn.BITXOR(Sheet2!$F$13,165)*16777216</f>
        <v>1601792820</v>
      </c>
      <c r="BB5" s="7">
        <f>_xlfn.BITXOR(Sheet2!$F$14,165)+_xlfn.BITXOR(Sheet2!$F$15,165)*256+_xlfn.BITXOR(Sheet2!$F$16,165)*65536+_xlfn.BITXOR(Sheet2!$F$17,165)*16777216</f>
        <v>1953248371</v>
      </c>
      <c r="BC5" s="7">
        <f>C5+D5*256+E5*65536+F5*16777216</f>
        <v>2151628607</v>
      </c>
      <c r="BD5" s="7">
        <f>G5+H5*256+I5*65536+J5*16777216</f>
        <v>0</v>
      </c>
      <c r="BE5" s="7">
        <f>K5+L5*256+M5*65536+N5*16777216</f>
        <v>0</v>
      </c>
      <c r="BF5" s="7">
        <f>O5+P5*256+Q5*65536+R5*16777216</f>
        <v>0</v>
      </c>
      <c r="BG5" s="7">
        <f>S5+T5*256+U5*65536+V5*16777216</f>
        <v>0</v>
      </c>
      <c r="BH5" s="7">
        <f>W5+X5*256+Y5*65536+Z5*16777216</f>
        <v>0</v>
      </c>
      <c r="BI5" s="7">
        <f>AA5+AB5*256+AC5*65536+AD5*16777216</f>
        <v>0</v>
      </c>
      <c r="BJ5" s="7">
        <f>AE5+AF5*256+AG5*65536+AH5*16777216</f>
        <v>0</v>
      </c>
      <c r="BK5" s="7">
        <f>AI5+AJ5*256+AK5*65536+AL5*16777216</f>
        <v>0</v>
      </c>
      <c r="BL5" s="7">
        <f>AM5+AN5*256+AO5*65536+AP5*16777216</f>
        <v>0</v>
      </c>
      <c r="BM5" s="7">
        <f>AQ5+AR5*256+AS5*65536+AT5*16777216</f>
        <v>152</v>
      </c>
      <c r="BN5" s="7">
        <f>AU5+AV5*256+AW5*65536+AX5*16777216</f>
        <v>0</v>
      </c>
      <c r="BO5" s="7">
        <f>MOD(1732584193+Sheet4!$J$261,4294967296)</f>
        <v>2864597674</v>
      </c>
      <c r="BP5" s="7">
        <f>MOD(4023233417+Sheet4!$K$261,4294967296)</f>
        <v>3283020593</v>
      </c>
      <c r="BQ5" s="7">
        <f>MOD(2562383102+Sheet4!$L$261,4294967296)</f>
        <v>3317144422</v>
      </c>
      <c r="BR5" s="7">
        <f>MOD(271733878+Sheet4!$M$261,4294967296)</f>
        <v>2031522474</v>
      </c>
      <c r="BS5" s="7">
        <v>4005615615</v>
      </c>
      <c r="BT5" s="7">
        <v>2391617212</v>
      </c>
      <c r="BU5" s="7">
        <v>2576942536</v>
      </c>
      <c r="BV5" s="7">
        <v>2140002521</v>
      </c>
      <c r="BW5" s="7">
        <f>IF(AND(BO5=BS5,BP5=BT5,BQ5=BU5,BR5=BV5),1,0)</f>
        <v>0</v>
      </c>
    </row>
    <row r="6" spans="1:76">
      <c r="A6" s="7">
        <v>5</v>
      </c>
      <c r="B6" s="7">
        <f>COUNT(Sheet2!$F$2:$F$17)+COUNT($C6:$E6)</f>
        <v>19</v>
      </c>
      <c r="C6" s="7">
        <f>CODE(MID(Sheet2!$H$2,$A6,1))</f>
        <v>63</v>
      </c>
      <c r="D6" s="7">
        <f>CODE(MID(Sheet2!$H$2,$A6+10,1))</f>
        <v>63</v>
      </c>
      <c r="E6" s="7">
        <f>CODE(MID(Sheet2!$H$2,$A6+20,1))</f>
        <v>63</v>
      </c>
      <c r="F6" s="7">
        <v>128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f>MOD(INT($B6*8/256^0),256)</f>
        <v>152</v>
      </c>
      <c r="AR6" s="7">
        <f>MOD(INT($B6*8/256^1),256)</f>
        <v>0</v>
      </c>
      <c r="AS6" s="7">
        <f>MOD(INT($B6*8/256^2),256)</f>
        <v>0</v>
      </c>
      <c r="AT6" s="7">
        <f>MOD(INT($B6*8/256^3),256)</f>
        <v>0</v>
      </c>
      <c r="AU6" s="7">
        <f>MOD(INT($B6*8/256^4),256)</f>
        <v>0</v>
      </c>
      <c r="AV6" s="7">
        <f>MOD(INT($B6*8/256^5),256)</f>
        <v>0</v>
      </c>
      <c r="AW6" s="7">
        <f>MOD(INT($B6*8/256^6),256)</f>
        <v>0</v>
      </c>
      <c r="AX6" s="7">
        <f>MOD(INT($B6*8/256^7),256)</f>
        <v>0</v>
      </c>
      <c r="AY6" s="7">
        <f>_xlfn.BITXOR(Sheet2!$F$2,165)+_xlfn.BITXOR(Sheet2!$F$3,165)*256+_xlfn.BITXOR(Sheet2!$F$4,165)*65536+_xlfn.BITXOR(Sheet2!$F$5,165)*16777216</f>
        <v>1701654643</v>
      </c>
      <c r="AZ6" s="7">
        <f>_xlfn.BITXOR(Sheet2!$F$6,165)+_xlfn.BITXOR(Sheet2!$F$7,165)*256+_xlfn.BITXOR(Sheet2!$F$8,165)*65536+_xlfn.BITXOR(Sheet2!$F$9,165)*16777216</f>
        <v>862876511</v>
      </c>
      <c r="BA6" s="7">
        <f>_xlfn.BITXOR(Sheet2!$F$10,165)+_xlfn.BITXOR(Sheet2!$F$11,165)*256+_xlfn.BITXOR(Sheet2!$F$12,165)*65536+_xlfn.BITXOR(Sheet2!$F$13,165)*16777216</f>
        <v>1601792820</v>
      </c>
      <c r="BB6" s="7">
        <f>_xlfn.BITXOR(Sheet2!$F$14,165)+_xlfn.BITXOR(Sheet2!$F$15,165)*256+_xlfn.BITXOR(Sheet2!$F$16,165)*65536+_xlfn.BITXOR(Sheet2!$F$17,165)*16777216</f>
        <v>1953248371</v>
      </c>
      <c r="BC6" s="7">
        <f>C6+D6*256+E6*65536+F6*16777216</f>
        <v>2151628607</v>
      </c>
      <c r="BD6" s="7">
        <f>G6+H6*256+I6*65536+J6*16777216</f>
        <v>0</v>
      </c>
      <c r="BE6" s="7">
        <f>K6+L6*256+M6*65536+N6*16777216</f>
        <v>0</v>
      </c>
      <c r="BF6" s="7">
        <f>O6+P6*256+Q6*65536+R6*16777216</f>
        <v>0</v>
      </c>
      <c r="BG6" s="7">
        <f>S6+T6*256+U6*65536+V6*16777216</f>
        <v>0</v>
      </c>
      <c r="BH6" s="7">
        <f>W6+X6*256+Y6*65536+Z6*16777216</f>
        <v>0</v>
      </c>
      <c r="BI6" s="7">
        <f>AA6+AB6*256+AC6*65536+AD6*16777216</f>
        <v>0</v>
      </c>
      <c r="BJ6" s="7">
        <f>AE6+AF6*256+AG6*65536+AH6*16777216</f>
        <v>0</v>
      </c>
      <c r="BK6" s="7">
        <f>AI6+AJ6*256+AK6*65536+AL6*16777216</f>
        <v>0</v>
      </c>
      <c r="BL6" s="7">
        <f>AM6+AN6*256+AO6*65536+AP6*16777216</f>
        <v>0</v>
      </c>
      <c r="BM6" s="7">
        <f>AQ6+AR6*256+AS6*65536+AT6*16777216</f>
        <v>152</v>
      </c>
      <c r="BN6" s="7">
        <f>AU6+AV6*256+AW6*65536+AX6*16777216</f>
        <v>0</v>
      </c>
      <c r="BO6" s="7">
        <f>MOD(1732584193+Sheet4!$J$326,4294967296)</f>
        <v>2864597674</v>
      </c>
      <c r="BP6" s="7">
        <f>MOD(4023233417+Sheet4!$K$326,4294967296)</f>
        <v>3283020593</v>
      </c>
      <c r="BQ6" s="7">
        <f>MOD(2562383102+Sheet4!$L$326,4294967296)</f>
        <v>3317144422</v>
      </c>
      <c r="BR6" s="7">
        <f>MOD(271733878+Sheet4!$M$326,4294967296)</f>
        <v>2031522474</v>
      </c>
      <c r="BS6" s="7">
        <v>1783887626</v>
      </c>
      <c r="BT6" s="7">
        <v>3622230939</v>
      </c>
      <c r="BU6" s="7">
        <v>1267188250</v>
      </c>
      <c r="BV6" s="7">
        <v>2483512918</v>
      </c>
      <c r="BW6" s="7">
        <f>IF(AND(BO6=BS6,BP6=BT6,BQ6=BU6,BR6=BV6),1,0)</f>
        <v>0</v>
      </c>
    </row>
    <row r="7" spans="1:76">
      <c r="A7" s="7">
        <v>6</v>
      </c>
      <c r="B7" s="7">
        <f>COUNT(Sheet2!$F$2:$F$17)+COUNT($C7:$E7)</f>
        <v>19</v>
      </c>
      <c r="C7" s="7">
        <f>CODE(MID(Sheet2!$H$2,$A7,1))</f>
        <v>63</v>
      </c>
      <c r="D7" s="7">
        <f>CODE(MID(Sheet2!$H$2,$A7+10,1))</f>
        <v>63</v>
      </c>
      <c r="E7" s="7">
        <f>CODE(MID(Sheet2!$H$2,$A7+20,1))</f>
        <v>63</v>
      </c>
      <c r="F7" s="7">
        <v>128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f>MOD(INT($B7*8/256^0),256)</f>
        <v>152</v>
      </c>
      <c r="AR7" s="7">
        <f>MOD(INT($B7*8/256^1),256)</f>
        <v>0</v>
      </c>
      <c r="AS7" s="7">
        <f>MOD(INT($B7*8/256^2),256)</f>
        <v>0</v>
      </c>
      <c r="AT7" s="7">
        <f>MOD(INT($B7*8/256^3),256)</f>
        <v>0</v>
      </c>
      <c r="AU7" s="7">
        <f>MOD(INT($B7*8/256^4),256)</f>
        <v>0</v>
      </c>
      <c r="AV7" s="7">
        <f>MOD(INT($B7*8/256^5),256)</f>
        <v>0</v>
      </c>
      <c r="AW7" s="7">
        <f>MOD(INT($B7*8/256^6),256)</f>
        <v>0</v>
      </c>
      <c r="AX7" s="7">
        <f>MOD(INT($B7*8/256^7),256)</f>
        <v>0</v>
      </c>
      <c r="AY7" s="7">
        <f>_xlfn.BITXOR(Sheet2!$F$2,165)+_xlfn.BITXOR(Sheet2!$F$3,165)*256+_xlfn.BITXOR(Sheet2!$F$4,165)*65536+_xlfn.BITXOR(Sheet2!$F$5,165)*16777216</f>
        <v>1701654643</v>
      </c>
      <c r="AZ7" s="7">
        <f>_xlfn.BITXOR(Sheet2!$F$6,165)+_xlfn.BITXOR(Sheet2!$F$7,165)*256+_xlfn.BITXOR(Sheet2!$F$8,165)*65536+_xlfn.BITXOR(Sheet2!$F$9,165)*16777216</f>
        <v>862876511</v>
      </c>
      <c r="BA7" s="7">
        <f>_xlfn.BITXOR(Sheet2!$F$10,165)+_xlfn.BITXOR(Sheet2!$F$11,165)*256+_xlfn.BITXOR(Sheet2!$F$12,165)*65536+_xlfn.BITXOR(Sheet2!$F$13,165)*16777216</f>
        <v>1601792820</v>
      </c>
      <c r="BB7" s="7">
        <f>_xlfn.BITXOR(Sheet2!$F$14,165)+_xlfn.BITXOR(Sheet2!$F$15,165)*256+_xlfn.BITXOR(Sheet2!$F$16,165)*65536+_xlfn.BITXOR(Sheet2!$F$17,165)*16777216</f>
        <v>1953248371</v>
      </c>
      <c r="BC7" s="7">
        <f>C7+D7*256+E7*65536+F7*16777216</f>
        <v>2151628607</v>
      </c>
      <c r="BD7" s="7">
        <f>G7+H7*256+I7*65536+J7*16777216</f>
        <v>0</v>
      </c>
      <c r="BE7" s="7">
        <f>K7+L7*256+M7*65536+N7*16777216</f>
        <v>0</v>
      </c>
      <c r="BF7" s="7">
        <f>O7+P7*256+Q7*65536+R7*16777216</f>
        <v>0</v>
      </c>
      <c r="BG7" s="7">
        <f>S7+T7*256+U7*65536+V7*16777216</f>
        <v>0</v>
      </c>
      <c r="BH7" s="7">
        <f>W7+X7*256+Y7*65536+Z7*16777216</f>
        <v>0</v>
      </c>
      <c r="BI7" s="7">
        <f>AA7+AB7*256+AC7*65536+AD7*16777216</f>
        <v>0</v>
      </c>
      <c r="BJ7" s="7">
        <f>AE7+AF7*256+AG7*65536+AH7*16777216</f>
        <v>0</v>
      </c>
      <c r="BK7" s="7">
        <f>AI7+AJ7*256+AK7*65536+AL7*16777216</f>
        <v>0</v>
      </c>
      <c r="BL7" s="7">
        <f>AM7+AN7*256+AO7*65536+AP7*16777216</f>
        <v>0</v>
      </c>
      <c r="BM7" s="7">
        <f>AQ7+AR7*256+AS7*65536+AT7*16777216</f>
        <v>152</v>
      </c>
      <c r="BN7" s="7">
        <f>AU7+AV7*256+AW7*65536+AX7*16777216</f>
        <v>0</v>
      </c>
      <c r="BO7" s="7">
        <f>MOD(1732584193+Sheet4!$J$391,4294967296)</f>
        <v>2864597674</v>
      </c>
      <c r="BP7" s="7">
        <f>MOD(4023233417+Sheet4!$K$391,4294967296)</f>
        <v>3283020593</v>
      </c>
      <c r="BQ7" s="7">
        <f>MOD(2562383102+Sheet4!$L$391,4294967296)</f>
        <v>3317144422</v>
      </c>
      <c r="BR7" s="7">
        <f>MOD(271733878+Sheet4!$M$391,4294967296)</f>
        <v>2031522474</v>
      </c>
      <c r="BS7" s="7">
        <v>3971983597</v>
      </c>
      <c r="BT7" s="7">
        <v>866610566</v>
      </c>
      <c r="BU7" s="7">
        <v>1921144098</v>
      </c>
      <c r="BV7" s="7">
        <v>402180923</v>
      </c>
      <c r="BW7" s="7">
        <f>IF(AND(BO7=BS7,BP7=BT7,BQ7=BU7,BR7=BV7),1,0)</f>
        <v>0</v>
      </c>
    </row>
    <row r="8" spans="1:76">
      <c r="A8" s="7">
        <v>7</v>
      </c>
      <c r="B8" s="7">
        <f>COUNT(Sheet2!$F$2:$F$17)+COUNT($C8:$E8)</f>
        <v>19</v>
      </c>
      <c r="C8" s="7">
        <f>CODE(MID(Sheet2!$H$2,$A8,1))</f>
        <v>63</v>
      </c>
      <c r="D8" s="7">
        <f>CODE(MID(Sheet2!$H$2,$A8+10,1))</f>
        <v>63</v>
      </c>
      <c r="E8" s="7">
        <f>CODE(MID(Sheet2!$H$2,$A8+20,1))</f>
        <v>63</v>
      </c>
      <c r="F8" s="7">
        <v>128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f>MOD(INT($B8*8/256^0),256)</f>
        <v>152</v>
      </c>
      <c r="AR8" s="7">
        <f>MOD(INT($B8*8/256^1),256)</f>
        <v>0</v>
      </c>
      <c r="AS8" s="7">
        <f>MOD(INT($B8*8/256^2),256)</f>
        <v>0</v>
      </c>
      <c r="AT8" s="7">
        <f>MOD(INT($B8*8/256^3),256)</f>
        <v>0</v>
      </c>
      <c r="AU8" s="7">
        <f>MOD(INT($B8*8/256^4),256)</f>
        <v>0</v>
      </c>
      <c r="AV8" s="7">
        <f>MOD(INT($B8*8/256^5),256)</f>
        <v>0</v>
      </c>
      <c r="AW8" s="7">
        <f>MOD(INT($B8*8/256^6),256)</f>
        <v>0</v>
      </c>
      <c r="AX8" s="7">
        <f>MOD(INT($B8*8/256^7),256)</f>
        <v>0</v>
      </c>
      <c r="AY8" s="7">
        <f>_xlfn.BITXOR(Sheet2!$F$2,165)+_xlfn.BITXOR(Sheet2!$F$3,165)*256+_xlfn.BITXOR(Sheet2!$F$4,165)*65536+_xlfn.BITXOR(Sheet2!$F$5,165)*16777216</f>
        <v>1701654643</v>
      </c>
      <c r="AZ8" s="7">
        <f>_xlfn.BITXOR(Sheet2!$F$6,165)+_xlfn.BITXOR(Sheet2!$F$7,165)*256+_xlfn.BITXOR(Sheet2!$F$8,165)*65536+_xlfn.BITXOR(Sheet2!$F$9,165)*16777216</f>
        <v>862876511</v>
      </c>
      <c r="BA8" s="7">
        <f>_xlfn.BITXOR(Sheet2!$F$10,165)+_xlfn.BITXOR(Sheet2!$F$11,165)*256+_xlfn.BITXOR(Sheet2!$F$12,165)*65536+_xlfn.BITXOR(Sheet2!$F$13,165)*16777216</f>
        <v>1601792820</v>
      </c>
      <c r="BB8" s="7">
        <f>_xlfn.BITXOR(Sheet2!$F$14,165)+_xlfn.BITXOR(Sheet2!$F$15,165)*256+_xlfn.BITXOR(Sheet2!$F$16,165)*65536+_xlfn.BITXOR(Sheet2!$F$17,165)*16777216</f>
        <v>1953248371</v>
      </c>
      <c r="BC8" s="7">
        <f>C8+D8*256+E8*65536+F8*16777216</f>
        <v>2151628607</v>
      </c>
      <c r="BD8" s="7">
        <f>G8+H8*256+I8*65536+J8*16777216</f>
        <v>0</v>
      </c>
      <c r="BE8" s="7">
        <f>K8+L8*256+M8*65536+N8*16777216</f>
        <v>0</v>
      </c>
      <c r="BF8" s="7">
        <f>O8+P8*256+Q8*65536+R8*16777216</f>
        <v>0</v>
      </c>
      <c r="BG8" s="7">
        <f>S8+T8*256+U8*65536+V8*16777216</f>
        <v>0</v>
      </c>
      <c r="BH8" s="7">
        <f>W8+X8*256+Y8*65536+Z8*16777216</f>
        <v>0</v>
      </c>
      <c r="BI8" s="7">
        <f>AA8+AB8*256+AC8*65536+AD8*16777216</f>
        <v>0</v>
      </c>
      <c r="BJ8" s="7">
        <f>AE8+AF8*256+AG8*65536+AH8*16777216</f>
        <v>0</v>
      </c>
      <c r="BK8" s="7">
        <f>AI8+AJ8*256+AK8*65536+AL8*16777216</f>
        <v>0</v>
      </c>
      <c r="BL8" s="7">
        <f>AM8+AN8*256+AO8*65536+AP8*16777216</f>
        <v>0</v>
      </c>
      <c r="BM8" s="7">
        <f>AQ8+AR8*256+AS8*65536+AT8*16777216</f>
        <v>152</v>
      </c>
      <c r="BN8" s="7">
        <f>AU8+AV8*256+AW8*65536+AX8*16777216</f>
        <v>0</v>
      </c>
      <c r="BO8" s="7">
        <f>MOD(1732584193+Sheet4!$J$456,4294967296)</f>
        <v>2864597674</v>
      </c>
      <c r="BP8" s="7">
        <f>MOD(4023233417+Sheet4!$K$456,4294967296)</f>
        <v>3283020593</v>
      </c>
      <c r="BQ8" s="7">
        <f>MOD(2562383102+Sheet4!$L$456,4294967296)</f>
        <v>3317144422</v>
      </c>
      <c r="BR8" s="7">
        <f>MOD(271733878+Sheet4!$M$456,4294967296)</f>
        <v>2031522474</v>
      </c>
      <c r="BS8" s="7">
        <v>3409560921</v>
      </c>
      <c r="BT8" s="7">
        <v>3103012121</v>
      </c>
      <c r="BU8" s="7">
        <v>2261944769</v>
      </c>
      <c r="BV8" s="7">
        <v>3919384297</v>
      </c>
      <c r="BW8" s="7">
        <f>IF(AND(BO8=BS8,BP8=BT8,BQ8=BU8,BR8=BV8),1,0)</f>
        <v>0</v>
      </c>
    </row>
    <row r="9" spans="1:76">
      <c r="A9" s="7">
        <v>8</v>
      </c>
      <c r="B9" s="7">
        <f>COUNT(Sheet2!$F$2:$F$17)+COUNT($C9:$E9)</f>
        <v>19</v>
      </c>
      <c r="C9" s="7">
        <f>CODE(MID(Sheet2!$H$2,$A9,1))</f>
        <v>63</v>
      </c>
      <c r="D9" s="7">
        <f>CODE(MID(Sheet2!$H$2,$A9+10,1))</f>
        <v>63</v>
      </c>
      <c r="E9" s="7">
        <f>CODE(MID(Sheet2!$H$2,$A9+20,1))</f>
        <v>63</v>
      </c>
      <c r="F9" s="7">
        <v>128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f>MOD(INT($B9*8/256^0),256)</f>
        <v>152</v>
      </c>
      <c r="AR9" s="7">
        <f>MOD(INT($B9*8/256^1),256)</f>
        <v>0</v>
      </c>
      <c r="AS9" s="7">
        <f>MOD(INT($B9*8/256^2),256)</f>
        <v>0</v>
      </c>
      <c r="AT9" s="7">
        <f>MOD(INT($B9*8/256^3),256)</f>
        <v>0</v>
      </c>
      <c r="AU9" s="7">
        <f>MOD(INT($B9*8/256^4),256)</f>
        <v>0</v>
      </c>
      <c r="AV9" s="7">
        <f>MOD(INT($B9*8/256^5),256)</f>
        <v>0</v>
      </c>
      <c r="AW9" s="7">
        <f>MOD(INT($B9*8/256^6),256)</f>
        <v>0</v>
      </c>
      <c r="AX9" s="7">
        <f>MOD(INT($B9*8/256^7),256)</f>
        <v>0</v>
      </c>
      <c r="AY9" s="7">
        <f>_xlfn.BITXOR(Sheet2!$F$2,165)+_xlfn.BITXOR(Sheet2!$F$3,165)*256+_xlfn.BITXOR(Sheet2!$F$4,165)*65536+_xlfn.BITXOR(Sheet2!$F$5,165)*16777216</f>
        <v>1701654643</v>
      </c>
      <c r="AZ9" s="7">
        <f>_xlfn.BITXOR(Sheet2!$F$6,165)+_xlfn.BITXOR(Sheet2!$F$7,165)*256+_xlfn.BITXOR(Sheet2!$F$8,165)*65536+_xlfn.BITXOR(Sheet2!$F$9,165)*16777216</f>
        <v>862876511</v>
      </c>
      <c r="BA9" s="7">
        <f>_xlfn.BITXOR(Sheet2!$F$10,165)+_xlfn.BITXOR(Sheet2!$F$11,165)*256+_xlfn.BITXOR(Sheet2!$F$12,165)*65536+_xlfn.BITXOR(Sheet2!$F$13,165)*16777216</f>
        <v>1601792820</v>
      </c>
      <c r="BB9" s="7">
        <f>_xlfn.BITXOR(Sheet2!$F$14,165)+_xlfn.BITXOR(Sheet2!$F$15,165)*256+_xlfn.BITXOR(Sheet2!$F$16,165)*65536+_xlfn.BITXOR(Sheet2!$F$17,165)*16777216</f>
        <v>1953248371</v>
      </c>
      <c r="BC9" s="7">
        <f>C9+D9*256+E9*65536+F9*16777216</f>
        <v>2151628607</v>
      </c>
      <c r="BD9" s="7">
        <f>G9+H9*256+I9*65536+J9*16777216</f>
        <v>0</v>
      </c>
      <c r="BE9" s="7">
        <f>K9+L9*256+M9*65536+N9*16777216</f>
        <v>0</v>
      </c>
      <c r="BF9" s="7">
        <f>O9+P9*256+Q9*65536+R9*16777216</f>
        <v>0</v>
      </c>
      <c r="BG9" s="7">
        <f>S9+T9*256+U9*65536+V9*16777216</f>
        <v>0</v>
      </c>
      <c r="BH9" s="7">
        <f>W9+X9*256+Y9*65536+Z9*16777216</f>
        <v>0</v>
      </c>
      <c r="BI9" s="7">
        <f>AA9+AB9*256+AC9*65536+AD9*16777216</f>
        <v>0</v>
      </c>
      <c r="BJ9" s="7">
        <f>AE9+AF9*256+AG9*65536+AH9*16777216</f>
        <v>0</v>
      </c>
      <c r="BK9" s="7">
        <f>AI9+AJ9*256+AK9*65536+AL9*16777216</f>
        <v>0</v>
      </c>
      <c r="BL9" s="7">
        <f>AM9+AN9*256+AO9*65536+AP9*16777216</f>
        <v>0</v>
      </c>
      <c r="BM9" s="7">
        <f>AQ9+AR9*256+AS9*65536+AT9*16777216</f>
        <v>152</v>
      </c>
      <c r="BN9" s="7">
        <f>AU9+AV9*256+AW9*65536+AX9*16777216</f>
        <v>0</v>
      </c>
      <c r="BO9" s="7">
        <f>MOD(1732584193+Sheet4!$J$521,4294967296)</f>
        <v>2864597674</v>
      </c>
      <c r="BP9" s="7">
        <f>MOD(4023233417+Sheet4!$K$521,4294967296)</f>
        <v>3283020593</v>
      </c>
      <c r="BQ9" s="7">
        <f>MOD(2562383102+Sheet4!$L$521,4294967296)</f>
        <v>3317144422</v>
      </c>
      <c r="BR9" s="7">
        <f>MOD(271733878+Sheet4!$M$521,4294967296)</f>
        <v>2031522474</v>
      </c>
      <c r="BS9" s="7">
        <v>3377601125</v>
      </c>
      <c r="BT9" s="7">
        <v>847392938</v>
      </c>
      <c r="BU9" s="7">
        <v>543800179</v>
      </c>
      <c r="BV9" s="7">
        <v>879909070</v>
      </c>
      <c r="BW9" s="7">
        <f>IF(AND(BO9=BS9,BP9=BT9,BQ9=BU9,BR9=BV9),1,0)</f>
        <v>0</v>
      </c>
    </row>
    <row r="10" spans="1:76">
      <c r="A10" s="7">
        <v>9</v>
      </c>
      <c r="B10" s="7">
        <f>COUNT(Sheet2!$F$2:$F$17)+COUNT($C10:$E10)</f>
        <v>19</v>
      </c>
      <c r="C10" s="7">
        <f>CODE(MID(Sheet2!$H$2,$A10,1))</f>
        <v>63</v>
      </c>
      <c r="D10" s="7">
        <f>CODE(MID(Sheet2!$H$2,$A10+10,1))</f>
        <v>63</v>
      </c>
      <c r="E10" s="7">
        <f>CODE(MID(Sheet2!$H$2,$A10+20,1))</f>
        <v>63</v>
      </c>
      <c r="F10" s="7">
        <v>128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f>MOD(INT($B10*8/256^0),256)</f>
        <v>152</v>
      </c>
      <c r="AR10" s="7">
        <f>MOD(INT($B10*8/256^1),256)</f>
        <v>0</v>
      </c>
      <c r="AS10" s="7">
        <f>MOD(INT($B10*8/256^2),256)</f>
        <v>0</v>
      </c>
      <c r="AT10" s="7">
        <f>MOD(INT($B10*8/256^3),256)</f>
        <v>0</v>
      </c>
      <c r="AU10" s="7">
        <f>MOD(INT($B10*8/256^4),256)</f>
        <v>0</v>
      </c>
      <c r="AV10" s="7">
        <f>MOD(INT($B10*8/256^5),256)</f>
        <v>0</v>
      </c>
      <c r="AW10" s="7">
        <f>MOD(INT($B10*8/256^6),256)</f>
        <v>0</v>
      </c>
      <c r="AX10" s="7">
        <f>MOD(INT($B10*8/256^7),256)</f>
        <v>0</v>
      </c>
      <c r="AY10" s="7">
        <f>_xlfn.BITXOR(Sheet2!$F$2,165)+_xlfn.BITXOR(Sheet2!$F$3,165)*256+_xlfn.BITXOR(Sheet2!$F$4,165)*65536+_xlfn.BITXOR(Sheet2!$F$5,165)*16777216</f>
        <v>1701654643</v>
      </c>
      <c r="AZ10" s="7">
        <f>_xlfn.BITXOR(Sheet2!$F$6,165)+_xlfn.BITXOR(Sheet2!$F$7,165)*256+_xlfn.BITXOR(Sheet2!$F$8,165)*65536+_xlfn.BITXOR(Sheet2!$F$9,165)*16777216</f>
        <v>862876511</v>
      </c>
      <c r="BA10" s="7">
        <f>_xlfn.BITXOR(Sheet2!$F$10,165)+_xlfn.BITXOR(Sheet2!$F$11,165)*256+_xlfn.BITXOR(Sheet2!$F$12,165)*65536+_xlfn.BITXOR(Sheet2!$F$13,165)*16777216</f>
        <v>1601792820</v>
      </c>
      <c r="BB10" s="7">
        <f>_xlfn.BITXOR(Sheet2!$F$14,165)+_xlfn.BITXOR(Sheet2!$F$15,165)*256+_xlfn.BITXOR(Sheet2!$F$16,165)*65536+_xlfn.BITXOR(Sheet2!$F$17,165)*16777216</f>
        <v>1953248371</v>
      </c>
      <c r="BC10" s="7">
        <f>C10+D10*256+E10*65536+F10*16777216</f>
        <v>2151628607</v>
      </c>
      <c r="BD10" s="7">
        <f>G10+H10*256+I10*65536+J10*16777216</f>
        <v>0</v>
      </c>
      <c r="BE10" s="7">
        <f>K10+L10*256+M10*65536+N10*16777216</f>
        <v>0</v>
      </c>
      <c r="BF10" s="7">
        <f>O10+P10*256+Q10*65536+R10*16777216</f>
        <v>0</v>
      </c>
      <c r="BG10" s="7">
        <f>S10+T10*256+U10*65536+V10*16777216</f>
        <v>0</v>
      </c>
      <c r="BH10" s="7">
        <f>W10+X10*256+Y10*65536+Z10*16777216</f>
        <v>0</v>
      </c>
      <c r="BI10" s="7">
        <f>AA10+AB10*256+AC10*65536+AD10*16777216</f>
        <v>0</v>
      </c>
      <c r="BJ10" s="7">
        <f>AE10+AF10*256+AG10*65536+AH10*16777216</f>
        <v>0</v>
      </c>
      <c r="BK10" s="7">
        <f>AI10+AJ10*256+AK10*65536+AL10*16777216</f>
        <v>0</v>
      </c>
      <c r="BL10" s="7">
        <f>AM10+AN10*256+AO10*65536+AP10*16777216</f>
        <v>0</v>
      </c>
      <c r="BM10" s="7">
        <f>AQ10+AR10*256+AS10*65536+AT10*16777216</f>
        <v>152</v>
      </c>
      <c r="BN10" s="7">
        <f>AU10+AV10*256+AW10*65536+AX10*16777216</f>
        <v>0</v>
      </c>
      <c r="BO10" s="7">
        <f>MOD(1732584193+Sheet4!$J$586,4294967296)</f>
        <v>2864597674</v>
      </c>
      <c r="BP10" s="7">
        <f>MOD(4023233417+Sheet4!$K$586,4294967296)</f>
        <v>3283020593</v>
      </c>
      <c r="BQ10" s="7">
        <f>MOD(2562383102+Sheet4!$L$586,4294967296)</f>
        <v>3317144422</v>
      </c>
      <c r="BR10" s="7">
        <f>MOD(271733878+Sheet4!$M$586,4294967296)</f>
        <v>2031522474</v>
      </c>
      <c r="BS10" s="7">
        <v>2343965920</v>
      </c>
      <c r="BT10" s="7">
        <v>2169933120</v>
      </c>
      <c r="BU10" s="7">
        <v>1366115365</v>
      </c>
      <c r="BV10" s="7">
        <v>931825985</v>
      </c>
      <c r="BW10" s="7">
        <f>IF(AND(BO10=BS10,BP10=BT10,BQ10=BU10,BR10=BV10),1,0)</f>
        <v>0</v>
      </c>
    </row>
    <row r="11" spans="1:76">
      <c r="A11" s="7">
        <v>10</v>
      </c>
      <c r="B11" s="7">
        <f>COUNT(Sheet2!$F$2:$F$17)+COUNT($C11:$E11)</f>
        <v>19</v>
      </c>
      <c r="C11" s="7">
        <f>CODE(MID(Sheet2!$H$2,$A11,1))</f>
        <v>63</v>
      </c>
      <c r="D11" s="7">
        <f>CODE(MID(Sheet2!$H$2,$A11+10,1))</f>
        <v>63</v>
      </c>
      <c r="E11" s="7">
        <f>CODE(MID(Sheet2!$H$2,$A11+20,1))</f>
        <v>63</v>
      </c>
      <c r="F11" s="7">
        <v>128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f>MOD(INT($B11*8/256^0),256)</f>
        <v>152</v>
      </c>
      <c r="AR11" s="7">
        <f>MOD(INT($B11*8/256^1),256)</f>
        <v>0</v>
      </c>
      <c r="AS11" s="7">
        <f>MOD(INT($B11*8/256^2),256)</f>
        <v>0</v>
      </c>
      <c r="AT11" s="7">
        <f>MOD(INT($B11*8/256^3),256)</f>
        <v>0</v>
      </c>
      <c r="AU11" s="7">
        <f>MOD(INT($B11*8/256^4),256)</f>
        <v>0</v>
      </c>
      <c r="AV11" s="7">
        <f>MOD(INT($B11*8/256^5),256)</f>
        <v>0</v>
      </c>
      <c r="AW11" s="7">
        <f>MOD(INT($B11*8/256^6),256)</f>
        <v>0</v>
      </c>
      <c r="AX11" s="7">
        <f>MOD(INT($B11*8/256^7),256)</f>
        <v>0</v>
      </c>
      <c r="AY11" s="7">
        <f>_xlfn.BITXOR(Sheet2!$F$2,165)+_xlfn.BITXOR(Sheet2!$F$3,165)*256+_xlfn.BITXOR(Sheet2!$F$4,165)*65536+_xlfn.BITXOR(Sheet2!$F$5,165)*16777216</f>
        <v>1701654643</v>
      </c>
      <c r="AZ11" s="7">
        <f>_xlfn.BITXOR(Sheet2!$F$6,165)+_xlfn.BITXOR(Sheet2!$F$7,165)*256+_xlfn.BITXOR(Sheet2!$F$8,165)*65536+_xlfn.BITXOR(Sheet2!$F$9,165)*16777216</f>
        <v>862876511</v>
      </c>
      <c r="BA11" s="7">
        <f>_xlfn.BITXOR(Sheet2!$F$10,165)+_xlfn.BITXOR(Sheet2!$F$11,165)*256+_xlfn.BITXOR(Sheet2!$F$12,165)*65536+_xlfn.BITXOR(Sheet2!$F$13,165)*16777216</f>
        <v>1601792820</v>
      </c>
      <c r="BB11" s="7">
        <f>_xlfn.BITXOR(Sheet2!$F$14,165)+_xlfn.BITXOR(Sheet2!$F$15,165)*256+_xlfn.BITXOR(Sheet2!$F$16,165)*65536+_xlfn.BITXOR(Sheet2!$F$17,165)*16777216</f>
        <v>1953248371</v>
      </c>
      <c r="BC11" s="7">
        <f>C11+D11*256+E11*65536+F11*16777216</f>
        <v>2151628607</v>
      </c>
      <c r="BD11" s="7">
        <f>G11+H11*256+I11*65536+J11*16777216</f>
        <v>0</v>
      </c>
      <c r="BE11" s="7">
        <f>K11+L11*256+M11*65536+N11*16777216</f>
        <v>0</v>
      </c>
      <c r="BF11" s="7">
        <f>O11+P11*256+Q11*65536+R11*16777216</f>
        <v>0</v>
      </c>
      <c r="BG11" s="7">
        <f>S11+T11*256+U11*65536+V11*16777216</f>
        <v>0</v>
      </c>
      <c r="BH11" s="7">
        <f>W11+X11*256+Y11*65536+Z11*16777216</f>
        <v>0</v>
      </c>
      <c r="BI11" s="7">
        <f>AA11+AB11*256+AC11*65536+AD11*16777216</f>
        <v>0</v>
      </c>
      <c r="BJ11" s="7">
        <f>AE11+AF11*256+AG11*65536+AH11*16777216</f>
        <v>0</v>
      </c>
      <c r="BK11" s="7">
        <f>AI11+AJ11*256+AK11*65536+AL11*16777216</f>
        <v>0</v>
      </c>
      <c r="BL11" s="7">
        <f>AM11+AN11*256+AO11*65536+AP11*16777216</f>
        <v>0</v>
      </c>
      <c r="BM11" s="7">
        <f>AQ11+AR11*256+AS11*65536+AT11*16777216</f>
        <v>152</v>
      </c>
      <c r="BN11" s="7">
        <f>AU11+AV11*256+AW11*65536+AX11*16777216</f>
        <v>0</v>
      </c>
      <c r="BO11" s="7">
        <f>MOD(1732584193+Sheet4!$J$651,4294967296)</f>
        <v>2864597674</v>
      </c>
      <c r="BP11" s="7">
        <f>MOD(4023233417+Sheet4!$K$651,4294967296)</f>
        <v>3283020593</v>
      </c>
      <c r="BQ11" s="7">
        <f>MOD(2562383102+Sheet4!$L$651,4294967296)</f>
        <v>3317144422</v>
      </c>
      <c r="BR11" s="7">
        <f>MOD(271733878+Sheet4!$M$651,4294967296)</f>
        <v>2031522474</v>
      </c>
      <c r="BS11" s="7">
        <v>1416552657</v>
      </c>
      <c r="BT11" s="7">
        <v>3925964814</v>
      </c>
      <c r="BU11" s="7">
        <v>413409308</v>
      </c>
      <c r="BV11" s="7">
        <v>1810266362</v>
      </c>
      <c r="BW11" s="7">
        <f>IF(AND(BO11=BS11,BP11=BT11,BQ11=BU11,BR11=BV11),1,0)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6.7109375" customWidth="1"/>
    <col min="3" max="3" width="12.7109375" customWidth="1"/>
    <col min="4" max="4" width="6.7109375" customWidth="1"/>
    <col min="5" max="5" width="5.7109375" customWidth="1"/>
    <col min="6" max="13" width="12.7109375" customWidth="1"/>
  </cols>
  <sheetData>
    <row r="1" spans="1:13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</row>
    <row r="2" spans="1:13">
      <c r="A2" s="8">
        <v>1</v>
      </c>
      <c r="B2" s="8">
        <v>-1</v>
      </c>
      <c r="J2" s="8">
        <v>1732584193</v>
      </c>
      <c r="K2" s="8">
        <v>4023233417</v>
      </c>
      <c r="L2" s="8">
        <v>2562383102</v>
      </c>
      <c r="M2" s="8">
        <v>271733878</v>
      </c>
    </row>
    <row r="3" spans="1:13">
      <c r="A3" s="7">
        <v>1</v>
      </c>
      <c r="B3" s="7">
        <v>0</v>
      </c>
      <c r="C3" s="7">
        <f>INDEX(Sheet2!$B$2:$B$65,$B3+1)</f>
        <v>3614090360</v>
      </c>
      <c r="D3" s="7">
        <f>INDEX(Sheet2!$C$2:$C$65,$B3+1)</f>
        <v>7</v>
      </c>
      <c r="E3" s="7">
        <f>INDEX(Sheet2!$D$2:$D$65,$B3+1)</f>
        <v>0</v>
      </c>
      <c r="F3" s="7">
        <f>INDEX(Sheet3!$AY$2:$BN$11,$A3,$E3+1)</f>
        <v>1701654643</v>
      </c>
      <c r="G3" s="7">
        <f>IF($B3&lt;16,_xlfn.BITOR(_xlfn.BITAND($K2,$L2),_xlfn.BITAND(4294967295-$K2,$M2)),IF($B3&lt;32,_xlfn.BITOR(_xlfn.BITAND($M2,$K2),_xlfn.BITAND(4294967295-$M2,$L2)),IF($B3&lt;48,_xlfn.BITXOR(_xlfn.BITXOR($K2,$L2),$M2),_xlfn.BITXOR($L2,_xlfn.BITOR($K2,4294967295-$M2)))))</f>
        <v>2562383102</v>
      </c>
      <c r="H3" s="7">
        <f>MOD($G3+$J2+$C3+$F3,4294967296)</f>
        <v>1020777706</v>
      </c>
      <c r="I3" s="7">
        <f>MOD($H3,2^(32-$D3))*2^$D3+INT($H3/2^(32-$D3))</f>
        <v>1810527518</v>
      </c>
      <c r="J3" s="7">
        <f>$M2</f>
        <v>271733878</v>
      </c>
      <c r="K3" s="7">
        <f>MOD($K2+$I3,4294967296)</f>
        <v>1538793639</v>
      </c>
      <c r="L3" s="7">
        <f>$K2</f>
        <v>4023233417</v>
      </c>
      <c r="M3" s="7">
        <f>$L2</f>
        <v>2562383102</v>
      </c>
    </row>
    <row r="4" spans="1:13">
      <c r="A4" s="7">
        <v>1</v>
      </c>
      <c r="B4" s="7">
        <v>1</v>
      </c>
      <c r="C4" s="7">
        <f>INDEX(Sheet2!$B$2:$B$65,$B4+1)</f>
        <v>3905402710</v>
      </c>
      <c r="D4" s="7">
        <f>INDEX(Sheet2!$C$2:$C$65,$B4+1)</f>
        <v>12</v>
      </c>
      <c r="E4" s="7">
        <f>INDEX(Sheet2!$D$2:$D$65,$B4+1)</f>
        <v>1</v>
      </c>
      <c r="F4" s="7">
        <f>INDEX(Sheet3!$AY$2:$BN$11,$A4,$E4+1)</f>
        <v>862876511</v>
      </c>
      <c r="G4" s="7">
        <f>IF($B4&lt;16,_xlfn.BITOR(_xlfn.BITAND($K3,$L3),_xlfn.BITAND(4294967295-$K3,$M3)),IF($B4&lt;32,_xlfn.BITOR(_xlfn.BITAND($M3,$K3),_xlfn.BITAND(4294967295-$M3,$L3)),IF($B4&lt;48,_xlfn.BITXOR(_xlfn.BITXOR($K3,$L3),$M3),_xlfn.BITXOR($L3,_xlfn.BITOR($K3,4294967295-$M3)))))</f>
        <v>3414883545</v>
      </c>
      <c r="H4" s="7">
        <f>MOD($G4+$J3+$C4+$F4,4294967296)</f>
        <v>4159929348</v>
      </c>
      <c r="I4" s="7">
        <f>MOD($H4,2^(32-$D4))*2^$D4+INT($H4/2^(32-$D4))</f>
        <v>935350143</v>
      </c>
      <c r="J4" s="7">
        <f>$M3</f>
        <v>2562383102</v>
      </c>
      <c r="K4" s="7">
        <f>MOD($K3+$I4,4294967296)</f>
        <v>2474143782</v>
      </c>
      <c r="L4" s="7">
        <f>$K3</f>
        <v>1538793639</v>
      </c>
      <c r="M4" s="7">
        <f>$L3</f>
        <v>4023233417</v>
      </c>
    </row>
    <row r="5" spans="1:13">
      <c r="A5" s="7">
        <v>1</v>
      </c>
      <c r="B5" s="7">
        <v>2</v>
      </c>
      <c r="C5" s="7">
        <f>INDEX(Sheet2!$B$2:$B$65,$B5+1)</f>
        <v>606105819</v>
      </c>
      <c r="D5" s="7">
        <f>INDEX(Sheet2!$C$2:$C$65,$B5+1)</f>
        <v>17</v>
      </c>
      <c r="E5" s="7">
        <f>INDEX(Sheet2!$D$2:$D$65,$B5+1)</f>
        <v>2</v>
      </c>
      <c r="F5" s="7">
        <f>INDEX(Sheet3!$AY$2:$BN$11,$A5,$E5+1)</f>
        <v>1601792820</v>
      </c>
      <c r="G5" s="7">
        <f>IF($B5&lt;16,_xlfn.BITOR(_xlfn.BITAND($K4,$L4),_xlfn.BITAND(4294967295-$K4,$M4)),IF($B5&lt;32,_xlfn.BITOR(_xlfn.BITAND($M4,$K4),_xlfn.BITAND(4294967295-$M4,$L4)),IF($B5&lt;48,_xlfn.BITXOR(_xlfn.BITXOR($K4,$L4),$M4),_xlfn.BITXOR($L4,_xlfn.BITOR($K4,4294967295-$M4)))))</f>
        <v>2143136687</v>
      </c>
      <c r="H5" s="7">
        <f>MOD($G5+$J4+$C5+$F5,4294967296)</f>
        <v>2618451132</v>
      </c>
      <c r="I5" s="7">
        <f>MOD($H5,2^(32-$D5))*2^$D5+INT($H5/2^(32-$D5))</f>
        <v>3380164644</v>
      </c>
      <c r="J5" s="7">
        <f>$M4</f>
        <v>4023233417</v>
      </c>
      <c r="K5" s="7">
        <f>MOD($K4+$I5,4294967296)</f>
        <v>1559341130</v>
      </c>
      <c r="L5" s="7">
        <f>$K4</f>
        <v>2474143782</v>
      </c>
      <c r="M5" s="7">
        <f>$L4</f>
        <v>1538793639</v>
      </c>
    </row>
    <row r="6" spans="1:13">
      <c r="A6" s="7">
        <v>1</v>
      </c>
      <c r="B6" s="7">
        <v>3</v>
      </c>
      <c r="C6" s="7">
        <f>INDEX(Sheet2!$B$2:$B$65,$B6+1)</f>
        <v>3250441966</v>
      </c>
      <c r="D6" s="7">
        <f>INDEX(Sheet2!$C$2:$C$65,$B6+1)</f>
        <v>22</v>
      </c>
      <c r="E6" s="7">
        <f>INDEX(Sheet2!$D$2:$D$65,$B6+1)</f>
        <v>3</v>
      </c>
      <c r="F6" s="7">
        <f>INDEX(Sheet3!$AY$2:$BN$11,$A6,$E6+1)</f>
        <v>1953248371</v>
      </c>
      <c r="G6" s="7">
        <f>IF($B6&lt;16,_xlfn.BITOR(_xlfn.BITAND($K5,$L5),_xlfn.BITAND(4294967295-$K5,$M5)),IF($B6&lt;32,_xlfn.BITOR(_xlfn.BITAND($M5,$K5),_xlfn.BITAND(4294967295-$M5,$L5)),IF($B6&lt;48,_xlfn.BITXOR(_xlfn.BITXOR($K5,$L5),$M5),_xlfn.BITXOR($L5,_xlfn.BITOR($K5,4294967295-$M5)))))</f>
        <v>326639783</v>
      </c>
      <c r="H6" s="7">
        <f>MOD($G6+$J5+$C6+$F6,4294967296)</f>
        <v>963628945</v>
      </c>
      <c r="I6" s="7">
        <f>MOD($H6,2^(32-$D6))*2^$D6+INT($H6/2^(32-$D6))</f>
        <v>3830340595</v>
      </c>
      <c r="J6" s="7">
        <f>$M5</f>
        <v>1538793639</v>
      </c>
      <c r="K6" s="7">
        <f>MOD($K5+$I6,4294967296)</f>
        <v>1094714429</v>
      </c>
      <c r="L6" s="7">
        <f>$K5</f>
        <v>1559341130</v>
      </c>
      <c r="M6" s="7">
        <f>$L5</f>
        <v>2474143782</v>
      </c>
    </row>
    <row r="7" spans="1:13">
      <c r="A7" s="7">
        <v>1</v>
      </c>
      <c r="B7" s="7">
        <v>4</v>
      </c>
      <c r="C7" s="7">
        <f>INDEX(Sheet2!$B$2:$B$65,$B7+1)</f>
        <v>4118548399</v>
      </c>
      <c r="D7" s="7">
        <f>INDEX(Sheet2!$C$2:$C$65,$B7+1)</f>
        <v>7</v>
      </c>
      <c r="E7" s="7">
        <f>INDEX(Sheet2!$D$2:$D$65,$B7+1)</f>
        <v>4</v>
      </c>
      <c r="F7" s="7">
        <f>INDEX(Sheet3!$AY$2:$BN$11,$A7,$E7+1)</f>
        <v>2151628607</v>
      </c>
      <c r="G7" s="7">
        <f>IF($B7&lt;16,_xlfn.BITOR(_xlfn.BITAND($K6,$L6),_xlfn.BITAND(4294967295-$K6,$M6)),IF($B7&lt;32,_xlfn.BITOR(_xlfn.BITAND($M6,$K6),_xlfn.BITAND(4294967295-$M6,$L6)),IF($B7&lt;48,_xlfn.BITXOR(_xlfn.BITXOR($K6,$L6),$M6),_xlfn.BITXOR($L6,_xlfn.BITOR($K6,4294967295-$M6)))))</f>
        <v>3531108362</v>
      </c>
      <c r="H7" s="7">
        <f>MOD($G7+$J6+$C7+$F7,4294967296)</f>
        <v>2750144415</v>
      </c>
      <c r="I7" s="7">
        <f>MOD($H7,2^(32-$D7))*2^$D7+INT($H7/2^(32-$D7))</f>
        <v>4126134225</v>
      </c>
      <c r="J7" s="7">
        <f>$M6</f>
        <v>2474143782</v>
      </c>
      <c r="K7" s="7">
        <f>MOD($K6+$I7,4294967296)</f>
        <v>925881358</v>
      </c>
      <c r="L7" s="7">
        <f>$K6</f>
        <v>1094714429</v>
      </c>
      <c r="M7" s="7">
        <f>$L6</f>
        <v>1559341130</v>
      </c>
    </row>
    <row r="8" spans="1:13">
      <c r="A8" s="7">
        <v>1</v>
      </c>
      <c r="B8" s="7">
        <v>5</v>
      </c>
      <c r="C8" s="7">
        <f>INDEX(Sheet2!$B$2:$B$65,$B8+1)</f>
        <v>1200080426</v>
      </c>
      <c r="D8" s="7">
        <f>INDEX(Sheet2!$C$2:$C$65,$B8+1)</f>
        <v>12</v>
      </c>
      <c r="E8" s="7">
        <f>INDEX(Sheet2!$D$2:$D$65,$B8+1)</f>
        <v>5</v>
      </c>
      <c r="F8" s="7">
        <f>INDEX(Sheet3!$AY$2:$BN$11,$A8,$E8+1)</f>
        <v>0</v>
      </c>
      <c r="G8" s="7">
        <f>IF($B8&lt;16,_xlfn.BITOR(_xlfn.BITAND($K7,$L7),_xlfn.BITAND(4294967295-$K7,$M7)),IF($B8&lt;32,_xlfn.BITOR(_xlfn.BITAND($M7,$K7),_xlfn.BITAND(4294967295-$M7,$L7)),IF($B8&lt;48,_xlfn.BITXOR(_xlfn.BITXOR($K7,$L7),$M7),_xlfn.BITXOR($L7,_xlfn.BITOR($K7,4294967295-$M7)))))</f>
        <v>1238379596</v>
      </c>
      <c r="H8" s="7">
        <f>MOD($G8+$J7+$C8+$F8,4294967296)</f>
        <v>617636508</v>
      </c>
      <c r="I8" s="7">
        <f>MOD($H8,2^(32-$D8))*2^$D8+INT($H8/2^(32-$D8))</f>
        <v>103400013</v>
      </c>
      <c r="J8" s="7">
        <f>$M7</f>
        <v>1559341130</v>
      </c>
      <c r="K8" s="7">
        <f>MOD($K7+$I8,4294967296)</f>
        <v>1029281371</v>
      </c>
      <c r="L8" s="7">
        <f>$K7</f>
        <v>925881358</v>
      </c>
      <c r="M8" s="7">
        <f>$L7</f>
        <v>1094714429</v>
      </c>
    </row>
    <row r="9" spans="1:13">
      <c r="A9" s="7">
        <v>1</v>
      </c>
      <c r="B9" s="7">
        <v>6</v>
      </c>
      <c r="C9" s="7">
        <f>INDEX(Sheet2!$B$2:$B$65,$B9+1)</f>
        <v>2821735955</v>
      </c>
      <c r="D9" s="7">
        <f>INDEX(Sheet2!$C$2:$C$65,$B9+1)</f>
        <v>17</v>
      </c>
      <c r="E9" s="7">
        <f>INDEX(Sheet2!$D$2:$D$65,$B9+1)</f>
        <v>6</v>
      </c>
      <c r="F9" s="7">
        <f>INDEX(Sheet3!$AY$2:$BN$11,$A9,$E9+1)</f>
        <v>0</v>
      </c>
      <c r="G9" s="7">
        <f>IF($B9&lt;16,_xlfn.BITOR(_xlfn.BITAND($K8,$L8),_xlfn.BITAND(4294967295-$K8,$M8)),IF($B9&lt;32,_xlfn.BITOR(_xlfn.BITAND($M8,$K8),_xlfn.BITAND(4294967295-$M8,$L8)),IF($B9&lt;48,_xlfn.BITXOR(_xlfn.BITXOR($K8,$L8),$M8),_xlfn.BITXOR($L8,_xlfn.BITOR($K8,4294967295-$M8)))))</f>
        <v>1963562030</v>
      </c>
      <c r="H9" s="7">
        <f>MOD($G9+$J8+$C9+$F9,4294967296)</f>
        <v>2049671819</v>
      </c>
      <c r="I9" s="7">
        <f>MOD($H9,2^(32-$D9))*2^$D9+INT($H9/2^(32-$D9))</f>
        <v>85390423</v>
      </c>
      <c r="J9" s="7">
        <f>$M8</f>
        <v>1094714429</v>
      </c>
      <c r="K9" s="7">
        <f>MOD($K8+$I9,4294967296)</f>
        <v>1114671794</v>
      </c>
      <c r="L9" s="7">
        <f>$K8</f>
        <v>1029281371</v>
      </c>
      <c r="M9" s="7">
        <f>$L8</f>
        <v>925881358</v>
      </c>
    </row>
    <row r="10" spans="1:13">
      <c r="A10" s="7">
        <v>1</v>
      </c>
      <c r="B10" s="7">
        <v>7</v>
      </c>
      <c r="C10" s="7">
        <f>INDEX(Sheet2!$B$2:$B$65,$B10+1)</f>
        <v>4249261313</v>
      </c>
      <c r="D10" s="7">
        <f>INDEX(Sheet2!$C$2:$C$65,$B10+1)</f>
        <v>22</v>
      </c>
      <c r="E10" s="7">
        <f>INDEX(Sheet2!$D$2:$D$65,$B10+1)</f>
        <v>7</v>
      </c>
      <c r="F10" s="7">
        <f>INDEX(Sheet3!$AY$2:$BN$11,$A10,$E10+1)</f>
        <v>0</v>
      </c>
      <c r="G10" s="7">
        <f>IF($B10&lt;16,_xlfn.BITOR(_xlfn.BITAND($K9,$L9),_xlfn.BITAND(4294967295-$K9,$M9)),IF($B10&lt;32,_xlfn.BITOR(_xlfn.BITAND($M9,$K9),_xlfn.BITAND(4294967295-$M9,$L9)),IF($B10&lt;48,_xlfn.BITXOR(_xlfn.BITXOR($K9,$L9),$M9),_xlfn.BITXOR($L9,_xlfn.BITOR($K9,4294967295-$M9)))))</f>
        <v>895473182</v>
      </c>
      <c r="H10" s="7">
        <f>MOD($G10+$J9+$C10+$F10,4294967296)</f>
        <v>1944481628</v>
      </c>
      <c r="I10" s="7">
        <f>MOD($H10,2^(32-$D10))*2^$D10+INT($H10/2^(32-$D10))</f>
        <v>3609000347</v>
      </c>
      <c r="J10" s="7">
        <f>$M9</f>
        <v>925881358</v>
      </c>
      <c r="K10" s="7">
        <f>MOD($K9+$I10,4294967296)</f>
        <v>428704845</v>
      </c>
      <c r="L10" s="7">
        <f>$K9</f>
        <v>1114671794</v>
      </c>
      <c r="M10" s="7">
        <f>$L9</f>
        <v>1029281371</v>
      </c>
    </row>
    <row r="11" spans="1:13">
      <c r="A11" s="7">
        <v>1</v>
      </c>
      <c r="B11" s="7">
        <v>8</v>
      </c>
      <c r="C11" s="7">
        <f>INDEX(Sheet2!$B$2:$B$65,$B11+1)</f>
        <v>1770035416</v>
      </c>
      <c r="D11" s="7">
        <f>INDEX(Sheet2!$C$2:$C$65,$B11+1)</f>
        <v>7</v>
      </c>
      <c r="E11" s="7">
        <f>INDEX(Sheet2!$D$2:$D$65,$B11+1)</f>
        <v>8</v>
      </c>
      <c r="F11" s="7">
        <f>INDEX(Sheet3!$AY$2:$BN$11,$A11,$E11+1)</f>
        <v>0</v>
      </c>
      <c r="G11" s="7">
        <f>IF($B11&lt;16,_xlfn.BITOR(_xlfn.BITAND($K10,$L10),_xlfn.BITAND(4294967295-$K10,$M10)),IF($B11&lt;32,_xlfn.BITOR(_xlfn.BITAND($M10,$K10),_xlfn.BITAND(4294967295-$M10,$L10)),IF($B11&lt;48,_xlfn.BITXOR(_xlfn.BITXOR($K10,$L10),$M10),_xlfn.BITXOR($L10,_xlfn.BITOR($K10,4294967295-$M10)))))</f>
        <v>609260050</v>
      </c>
      <c r="H11" s="7">
        <f>MOD($G11+$J10+$C11+$F11,4294967296)</f>
        <v>3305176824</v>
      </c>
      <c r="I11" s="7">
        <f>MOD($H11,2^(32-$D11))*2^$D11+INT($H11/2^(32-$D11))</f>
        <v>2155838562</v>
      </c>
      <c r="J11" s="7">
        <f>$M10</f>
        <v>1029281371</v>
      </c>
      <c r="K11" s="7">
        <f>MOD($K10+$I11,4294967296)</f>
        <v>2584543407</v>
      </c>
      <c r="L11" s="7">
        <f>$K10</f>
        <v>428704845</v>
      </c>
      <c r="M11" s="7">
        <f>$L10</f>
        <v>1114671794</v>
      </c>
    </row>
    <row r="12" spans="1:13">
      <c r="A12" s="7">
        <v>1</v>
      </c>
      <c r="B12" s="7">
        <v>9</v>
      </c>
      <c r="C12" s="7">
        <f>INDEX(Sheet2!$B$2:$B$65,$B12+1)</f>
        <v>2336552879</v>
      </c>
      <c r="D12" s="7">
        <f>INDEX(Sheet2!$C$2:$C$65,$B12+1)</f>
        <v>12</v>
      </c>
      <c r="E12" s="7">
        <f>INDEX(Sheet2!$D$2:$D$65,$B12+1)</f>
        <v>9</v>
      </c>
      <c r="F12" s="7">
        <f>INDEX(Sheet3!$AY$2:$BN$11,$A12,$E12+1)</f>
        <v>0</v>
      </c>
      <c r="G12" s="7">
        <f>IF($B12&lt;16,_xlfn.BITOR(_xlfn.BITAND($K11,$L11),_xlfn.BITAND(4294967295-$K11,$M11)),IF($B12&lt;32,_xlfn.BITOR(_xlfn.BITAND($M11,$K11),_xlfn.BITAND(4294967295-$M11,$L11)),IF($B12&lt;48,_xlfn.BITXOR(_xlfn.BITXOR($K11,$L11),$M11),_xlfn.BITXOR($L11,_xlfn.BITOR($K11,4294967295-$M11)))))</f>
        <v>1484622365</v>
      </c>
      <c r="H12" s="7">
        <f>MOD($G12+$J11+$C12+$F12,4294967296)</f>
        <v>555489319</v>
      </c>
      <c r="I12" s="7">
        <f>MOD($H12,2^(32-$D12))*2^$D12+INT($H12/2^(32-$D12))</f>
        <v>3246551569</v>
      </c>
      <c r="J12" s="7">
        <f>$M11</f>
        <v>1114671794</v>
      </c>
      <c r="K12" s="7">
        <f>MOD($K11+$I12,4294967296)</f>
        <v>1536127680</v>
      </c>
      <c r="L12" s="7">
        <f>$K11</f>
        <v>2584543407</v>
      </c>
      <c r="M12" s="7">
        <f>$L11</f>
        <v>428704845</v>
      </c>
    </row>
    <row r="13" spans="1:13">
      <c r="A13" s="7">
        <v>1</v>
      </c>
      <c r="B13" s="7">
        <v>10</v>
      </c>
      <c r="C13" s="7">
        <f>INDEX(Sheet2!$B$2:$B$65,$B13+1)</f>
        <v>4294925233</v>
      </c>
      <c r="D13" s="7">
        <f>INDEX(Sheet2!$C$2:$C$65,$B13+1)</f>
        <v>17</v>
      </c>
      <c r="E13" s="7">
        <f>INDEX(Sheet2!$D$2:$D$65,$B13+1)</f>
        <v>10</v>
      </c>
      <c r="F13" s="7">
        <f>INDEX(Sheet3!$AY$2:$BN$11,$A13,$E13+1)</f>
        <v>0</v>
      </c>
      <c r="G13" s="7">
        <f>IF($B13&lt;16,_xlfn.BITOR(_xlfn.BITAND($K12,$L12),_xlfn.BITAND(4294967295-$K12,$M12)),IF($B13&lt;32,_xlfn.BITOR(_xlfn.BITAND($M12,$K12),_xlfn.BITAND(4294967295-$M12,$L12)),IF($B13&lt;48,_xlfn.BITXOR(_xlfn.BITXOR($K12,$L12),$M12),_xlfn.BITXOR($L12,_xlfn.BITOR($K12,4294967295-$M12)))))</f>
        <v>437093517</v>
      </c>
      <c r="H13" s="7">
        <f>MOD($G13+$J12+$C13+$F13,4294967296)</f>
        <v>1551723248</v>
      </c>
      <c r="I13" s="7">
        <f>MOD($H13,2^(32-$D13))*2^$D13+INT($H13/2^(32-$D13))</f>
        <v>3588274426</v>
      </c>
      <c r="J13" s="7">
        <f>$M12</f>
        <v>428704845</v>
      </c>
      <c r="K13" s="7">
        <f>MOD($K12+$I13,4294967296)</f>
        <v>829434810</v>
      </c>
      <c r="L13" s="7">
        <f>$K12</f>
        <v>1536127680</v>
      </c>
      <c r="M13" s="7">
        <f>$L12</f>
        <v>2584543407</v>
      </c>
    </row>
    <row r="14" spans="1:13">
      <c r="A14" s="7">
        <v>1</v>
      </c>
      <c r="B14" s="7">
        <v>11</v>
      </c>
      <c r="C14" s="7">
        <f>INDEX(Sheet2!$B$2:$B$65,$B14+1)</f>
        <v>2304563134</v>
      </c>
      <c r="D14" s="7">
        <f>INDEX(Sheet2!$C$2:$C$65,$B14+1)</f>
        <v>22</v>
      </c>
      <c r="E14" s="7">
        <f>INDEX(Sheet2!$D$2:$D$65,$B14+1)</f>
        <v>11</v>
      </c>
      <c r="F14" s="7">
        <f>INDEX(Sheet3!$AY$2:$BN$11,$A14,$E14+1)</f>
        <v>0</v>
      </c>
      <c r="G14" s="7">
        <f>IF($B14&lt;16,_xlfn.BITOR(_xlfn.BITAND($K13,$L13),_xlfn.BITAND(4294967295-$K13,$M13)),IF($B14&lt;32,_xlfn.BITOR(_xlfn.BITAND($M13,$K13),_xlfn.BITAND(4294967295-$M13,$L13)),IF($B14&lt;48,_xlfn.BITXOR(_xlfn.BITXOR($K13,$L13),$M13),_xlfn.BITXOR($L13,_xlfn.BITOR($K13,4294967295-$M13)))))</f>
        <v>2601329285</v>
      </c>
      <c r="H14" s="7">
        <f>MOD($G14+$J13+$C14+$F14,4294967296)</f>
        <v>1039629968</v>
      </c>
      <c r="I14" s="7">
        <f>MOD($H14,2^(32-$D14))*2^$D14+INT($H14/2^(32-$D14))</f>
        <v>2752478687</v>
      </c>
      <c r="J14" s="7">
        <f>$M13</f>
        <v>2584543407</v>
      </c>
      <c r="K14" s="7">
        <f>MOD($K13+$I14,4294967296)</f>
        <v>3581913497</v>
      </c>
      <c r="L14" s="7">
        <f>$K13</f>
        <v>829434810</v>
      </c>
      <c r="M14" s="7">
        <f>$L13</f>
        <v>1536127680</v>
      </c>
    </row>
    <row r="15" spans="1:13">
      <c r="A15" s="7">
        <v>1</v>
      </c>
      <c r="B15" s="7">
        <v>12</v>
      </c>
      <c r="C15" s="7">
        <f>INDEX(Sheet2!$B$2:$B$65,$B15+1)</f>
        <v>1804603682</v>
      </c>
      <c r="D15" s="7">
        <f>INDEX(Sheet2!$C$2:$C$65,$B15+1)</f>
        <v>7</v>
      </c>
      <c r="E15" s="7">
        <f>INDEX(Sheet2!$D$2:$D$65,$B15+1)</f>
        <v>12</v>
      </c>
      <c r="F15" s="7">
        <f>INDEX(Sheet3!$AY$2:$BN$11,$A15,$E15+1)</f>
        <v>0</v>
      </c>
      <c r="G15" s="7">
        <f>IF($B15&lt;16,_xlfn.BITOR(_xlfn.BITAND($K14,$L14),_xlfn.BITAND(4294967295-$K14,$M14)),IF($B15&lt;32,_xlfn.BITOR(_xlfn.BITAND($M14,$K14),_xlfn.BITAND(4294967295-$M14,$L14)),IF($B15&lt;48,_xlfn.BITXOR(_xlfn.BITXOR($K14,$L14),$M14),_xlfn.BITXOR($L14,_xlfn.BITOR($K14,4294967295-$M14)))))</f>
        <v>468745176</v>
      </c>
      <c r="H15" s="7">
        <f>MOD($G15+$J14+$C15+$F15,4294967296)</f>
        <v>562924969</v>
      </c>
      <c r="I15" s="7">
        <f>MOD($H15,2^(32-$D15))*2^$D15+INT($H15/2^(32-$D15))</f>
        <v>3334919312</v>
      </c>
      <c r="J15" s="7">
        <f>$M14</f>
        <v>1536127680</v>
      </c>
      <c r="K15" s="7">
        <f>MOD($K14+$I15,4294967296)</f>
        <v>2621865513</v>
      </c>
      <c r="L15" s="7">
        <f>$K14</f>
        <v>3581913497</v>
      </c>
      <c r="M15" s="7">
        <f>$L14</f>
        <v>829434810</v>
      </c>
    </row>
    <row r="16" spans="1:13">
      <c r="A16" s="7">
        <v>1</v>
      </c>
      <c r="B16" s="7">
        <v>13</v>
      </c>
      <c r="C16" s="7">
        <f>INDEX(Sheet2!$B$2:$B$65,$B16+1)</f>
        <v>4254626195</v>
      </c>
      <c r="D16" s="7">
        <f>INDEX(Sheet2!$C$2:$C$65,$B16+1)</f>
        <v>12</v>
      </c>
      <c r="E16" s="7">
        <f>INDEX(Sheet2!$D$2:$D$65,$B16+1)</f>
        <v>13</v>
      </c>
      <c r="F16" s="7">
        <f>INDEX(Sheet3!$AY$2:$BN$11,$A16,$E16+1)</f>
        <v>0</v>
      </c>
      <c r="G16" s="7">
        <f>IF($B16&lt;16,_xlfn.BITOR(_xlfn.BITAND($K15,$L15),_xlfn.BITAND(4294967295-$K15,$M15)),IF($B16&lt;32,_xlfn.BITOR(_xlfn.BITAND($M15,$K15),_xlfn.BITAND(4294967295-$M15,$L15)),IF($B16&lt;48,_xlfn.BITXOR(_xlfn.BITXOR($K15,$L15),$M15),_xlfn.BITXOR($L15,_xlfn.BITOR($K15,4294967295-$M15)))))</f>
        <v>3044419995</v>
      </c>
      <c r="H16" s="7">
        <f>MOD($G16+$J15+$C16+$F16,4294967296)</f>
        <v>245239278</v>
      </c>
      <c r="I16" s="7">
        <f>MOD($H16,2^(32-$D16))*2^$D16+INT($H16/2^(32-$D16))</f>
        <v>3772702953</v>
      </c>
      <c r="J16" s="7">
        <f>$M15</f>
        <v>829434810</v>
      </c>
      <c r="K16" s="7">
        <f>MOD($K15+$I16,4294967296)</f>
        <v>2099601170</v>
      </c>
      <c r="L16" s="7">
        <f>$K15</f>
        <v>2621865513</v>
      </c>
      <c r="M16" s="7">
        <f>$L15</f>
        <v>3581913497</v>
      </c>
    </row>
    <row r="17" spans="1:13">
      <c r="A17" s="7">
        <v>1</v>
      </c>
      <c r="B17" s="7">
        <v>14</v>
      </c>
      <c r="C17" s="7">
        <f>INDEX(Sheet2!$B$2:$B$65,$B17+1)</f>
        <v>2792965006</v>
      </c>
      <c r="D17" s="7">
        <f>INDEX(Sheet2!$C$2:$C$65,$B17+1)</f>
        <v>17</v>
      </c>
      <c r="E17" s="7">
        <f>INDEX(Sheet2!$D$2:$D$65,$B17+1)</f>
        <v>14</v>
      </c>
      <c r="F17" s="7">
        <f>INDEX(Sheet3!$AY$2:$BN$11,$A17,$E17+1)</f>
        <v>152</v>
      </c>
      <c r="G17" s="7">
        <f>IF($B17&lt;16,_xlfn.BITOR(_xlfn.BITAND($K16,$L16),_xlfn.BITAND(4294967295-$K16,$M16)),IF($B17&lt;32,_xlfn.BITOR(_xlfn.BITAND($M16,$K16),_xlfn.BITAND(4294967295-$M16,$L16)),IF($B17&lt;48,_xlfn.BITXOR(_xlfn.BITXOR($K16,$L16),$M16),_xlfn.BITXOR($L16,_xlfn.BITOR($K16,4294967295-$M16)))))</f>
        <v>2623471241</v>
      </c>
      <c r="H17" s="7">
        <f>MOD($G17+$J16+$C17+$F17,4294967296)</f>
        <v>1950903913</v>
      </c>
      <c r="I17" s="7">
        <f>MOD($H17,2^(32-$D17))*2^$D17+INT($H17/2^(32-$D17))</f>
        <v>3704809616</v>
      </c>
      <c r="J17" s="7">
        <f>$M16</f>
        <v>3581913497</v>
      </c>
      <c r="K17" s="7">
        <f>MOD($K16+$I17,4294967296)</f>
        <v>1509443490</v>
      </c>
      <c r="L17" s="7">
        <f>$K16</f>
        <v>2099601170</v>
      </c>
      <c r="M17" s="7">
        <f>$L16</f>
        <v>2621865513</v>
      </c>
    </row>
    <row r="18" spans="1:13">
      <c r="A18" s="7">
        <v>1</v>
      </c>
      <c r="B18" s="7">
        <v>15</v>
      </c>
      <c r="C18" s="7">
        <f>INDEX(Sheet2!$B$2:$B$65,$B18+1)</f>
        <v>1236535329</v>
      </c>
      <c r="D18" s="7">
        <f>INDEX(Sheet2!$C$2:$C$65,$B18+1)</f>
        <v>22</v>
      </c>
      <c r="E18" s="7">
        <f>INDEX(Sheet2!$D$2:$D$65,$B18+1)</f>
        <v>15</v>
      </c>
      <c r="F18" s="7">
        <f>INDEX(Sheet3!$AY$2:$BN$11,$A18,$E18+1)</f>
        <v>0</v>
      </c>
      <c r="G18" s="7">
        <f>IF($B18&lt;16,_xlfn.BITOR(_xlfn.BITAND($K17,$L17),_xlfn.BITAND(4294967295-$K17,$M17)),IF($B18&lt;32,_xlfn.BITOR(_xlfn.BITAND($M17,$K17),_xlfn.BITAND(4294967295-$M17,$L17)),IF($B18&lt;48,_xlfn.BITXOR(_xlfn.BITXOR($K17,$L17),$M17),_xlfn.BITXOR($L17,_xlfn.BITOR($K17,4294967295-$M17)))))</f>
        <v>3710287627</v>
      </c>
      <c r="H18" s="7">
        <f>MOD($G18+$J17+$C18+$F18,4294967296)</f>
        <v>4233769157</v>
      </c>
      <c r="I18" s="7">
        <f>MOD($H18,2^(32-$D18))*2^$D18+INT($H18/2^(32-$D18))</f>
        <v>830412428</v>
      </c>
      <c r="J18" s="7">
        <f>$M17</f>
        <v>2621865513</v>
      </c>
      <c r="K18" s="7">
        <f>MOD($K17+$I18,4294967296)</f>
        <v>2339855918</v>
      </c>
      <c r="L18" s="7">
        <f>$K17</f>
        <v>1509443490</v>
      </c>
      <c r="M18" s="7">
        <f>$L17</f>
        <v>2099601170</v>
      </c>
    </row>
    <row r="19" spans="1:13">
      <c r="A19" s="7">
        <v>1</v>
      </c>
      <c r="B19" s="7">
        <v>16</v>
      </c>
      <c r="C19" s="7">
        <f>INDEX(Sheet2!$B$2:$B$65,$B19+1)</f>
        <v>4129170786</v>
      </c>
      <c r="D19" s="7">
        <f>INDEX(Sheet2!$C$2:$C$65,$B19+1)</f>
        <v>5</v>
      </c>
      <c r="E19" s="7">
        <f>INDEX(Sheet2!$D$2:$D$65,$B19+1)</f>
        <v>1</v>
      </c>
      <c r="F19" s="7">
        <f>INDEX(Sheet3!$AY$2:$BN$11,$A19,$E19+1)</f>
        <v>862876511</v>
      </c>
      <c r="G19" s="7">
        <f>IF($B19&lt;16,_xlfn.BITOR(_xlfn.BITAND($K18,$L18),_xlfn.BITAND(4294967295-$K18,$M18)),IF($B19&lt;32,_xlfn.BITOR(_xlfn.BITAND($M18,$K18),_xlfn.BITAND(4294967295-$M18,$L18)),IF($B19&lt;48,_xlfn.BITXOR(_xlfn.BITXOR($K18,$L18),$M18),_xlfn.BITXOR($L18,_xlfn.BITOR($K18,4294967295-$M18)))))</f>
        <v>167599778</v>
      </c>
      <c r="H19" s="7">
        <f>MOD($G19+$J18+$C19+$F19,4294967296)</f>
        <v>3486545292</v>
      </c>
      <c r="I19" s="7">
        <f>MOD($H19,2^(32-$D19))*2^$D19+INT($H19/2^(32-$D19))</f>
        <v>4195266969</v>
      </c>
      <c r="J19" s="7">
        <f>$M18</f>
        <v>2099601170</v>
      </c>
      <c r="K19" s="7">
        <f>MOD($K18+$I19,4294967296)</f>
        <v>2240155591</v>
      </c>
      <c r="L19" s="7">
        <f>$K18</f>
        <v>2339855918</v>
      </c>
      <c r="M19" s="7">
        <f>$L18</f>
        <v>1509443490</v>
      </c>
    </row>
    <row r="20" spans="1:13">
      <c r="A20" s="7">
        <v>1</v>
      </c>
      <c r="B20" s="7">
        <v>17</v>
      </c>
      <c r="C20" s="7">
        <f>INDEX(Sheet2!$B$2:$B$65,$B20+1)</f>
        <v>3225465664</v>
      </c>
      <c r="D20" s="7">
        <f>INDEX(Sheet2!$C$2:$C$65,$B20+1)</f>
        <v>9</v>
      </c>
      <c r="E20" s="7">
        <f>INDEX(Sheet2!$D$2:$D$65,$B20+1)</f>
        <v>6</v>
      </c>
      <c r="F20" s="7">
        <f>INDEX(Sheet3!$AY$2:$BN$11,$A20,$E20+1)</f>
        <v>0</v>
      </c>
      <c r="G20" s="7">
        <f>IF($B20&lt;16,_xlfn.BITOR(_xlfn.BITAND($K19,$L19),_xlfn.BITAND(4294967295-$K19,$M19)),IF($B20&lt;32,_xlfn.BITOR(_xlfn.BITAND($M19,$K19),_xlfn.BITAND(4294967295-$M19,$L19)),IF($B20&lt;48,_xlfn.BITXOR(_xlfn.BITXOR($K19,$L19),$M19),_xlfn.BITXOR($L19,_xlfn.BITOR($K19,4294967295-$M19)))))</f>
        <v>2206670734</v>
      </c>
      <c r="H20" s="7">
        <f>MOD($G20+$J19+$C20+$F20,4294967296)</f>
        <v>3236770272</v>
      </c>
      <c r="I20" s="7">
        <f>MOD($H20,2^(32-$D20))*2^$D20+INT($H20/2^(32-$D20))</f>
        <v>3663970689</v>
      </c>
      <c r="J20" s="7">
        <f>$M19</f>
        <v>1509443490</v>
      </c>
      <c r="K20" s="7">
        <f>MOD($K19+$I20,4294967296)</f>
        <v>1609158984</v>
      </c>
      <c r="L20" s="7">
        <f>$K19</f>
        <v>2240155591</v>
      </c>
      <c r="M20" s="7">
        <f>$L19</f>
        <v>2339855918</v>
      </c>
    </row>
    <row r="21" spans="1:13">
      <c r="A21" s="7">
        <v>1</v>
      </c>
      <c r="B21" s="7">
        <v>18</v>
      </c>
      <c r="C21" s="7">
        <f>INDEX(Sheet2!$B$2:$B$65,$B21+1)</f>
        <v>643717713</v>
      </c>
      <c r="D21" s="7">
        <f>INDEX(Sheet2!$C$2:$C$65,$B21+1)</f>
        <v>14</v>
      </c>
      <c r="E21" s="7">
        <f>INDEX(Sheet2!$D$2:$D$65,$B21+1)</f>
        <v>11</v>
      </c>
      <c r="F21" s="7">
        <f>INDEX(Sheet3!$AY$2:$BN$11,$A21,$E21+1)</f>
        <v>0</v>
      </c>
      <c r="G21" s="7">
        <f>IF($B21&lt;16,_xlfn.BITOR(_xlfn.BITAND($K20,$L20),_xlfn.BITAND(4294967295-$K20,$M20)),IF($B21&lt;32,_xlfn.BITOR(_xlfn.BITAND($M20,$K20),_xlfn.BITAND(4294967295-$M20,$L20)),IF($B21&lt;48,_xlfn.BITXOR(_xlfn.BITXOR($K20,$L20),$M20),_xlfn.BITXOR($L20,_xlfn.BITOR($K20,4294967295-$M20)))))</f>
        <v>266424777</v>
      </c>
      <c r="H21" s="7">
        <f>MOD($G21+$J20+$C21+$F21,4294967296)</f>
        <v>2419585980</v>
      </c>
      <c r="I21" s="7">
        <f>MOD($H21,2^(32-$D21))*2^$D21+INT($H21/2^(32-$D21))</f>
        <v>4243530765</v>
      </c>
      <c r="J21" s="7">
        <f>$M20</f>
        <v>2339855918</v>
      </c>
      <c r="K21" s="7">
        <f>MOD($K20+$I21,4294967296)</f>
        <v>1557722453</v>
      </c>
      <c r="L21" s="7">
        <f>$K20</f>
        <v>1609158984</v>
      </c>
      <c r="M21" s="7">
        <f>$L20</f>
        <v>2240155591</v>
      </c>
    </row>
    <row r="22" spans="1:13">
      <c r="A22" s="7">
        <v>1</v>
      </c>
      <c r="B22" s="7">
        <v>19</v>
      </c>
      <c r="C22" s="7">
        <f>INDEX(Sheet2!$B$2:$B$65,$B22+1)</f>
        <v>3921069994</v>
      </c>
      <c r="D22" s="7">
        <f>INDEX(Sheet2!$C$2:$C$65,$B22+1)</f>
        <v>20</v>
      </c>
      <c r="E22" s="7">
        <f>INDEX(Sheet2!$D$2:$D$65,$B22+1)</f>
        <v>0</v>
      </c>
      <c r="F22" s="7">
        <f>INDEX(Sheet3!$AY$2:$BN$11,$A22,$E22+1)</f>
        <v>1701654643</v>
      </c>
      <c r="G22" s="7">
        <f>IF($B22&lt;16,_xlfn.BITOR(_xlfn.BITAND($K21,$L21),_xlfn.BITAND(4294967295-$K21,$M21)),IF($B22&lt;32,_xlfn.BITOR(_xlfn.BITAND($M21,$K21),_xlfn.BITAND(4294967295-$M21,$L21)),IF($B22&lt;48,_xlfn.BITXOR(_xlfn.BITXOR($K21,$L21),$M21),_xlfn.BITXOR($L21,_xlfn.BITOR($K21,4294967295-$M21)))))</f>
        <v>1592382797</v>
      </c>
      <c r="H22" s="7">
        <f>MOD($G22+$J21+$C22+$F22,4294967296)</f>
        <v>965028760</v>
      </c>
      <c r="I22" s="7">
        <f>MOD($H22,2^(32-$D22))*2^$D22+INT($H22/2^(32-$D22))</f>
        <v>3112409170</v>
      </c>
      <c r="J22" s="7">
        <f>$M21</f>
        <v>2240155591</v>
      </c>
      <c r="K22" s="7">
        <f>MOD($K21+$I22,4294967296)</f>
        <v>375164327</v>
      </c>
      <c r="L22" s="7">
        <f>$K21</f>
        <v>1557722453</v>
      </c>
      <c r="M22" s="7">
        <f>$L21</f>
        <v>1609158984</v>
      </c>
    </row>
    <row r="23" spans="1:13">
      <c r="A23" s="7">
        <v>1</v>
      </c>
      <c r="B23" s="7">
        <v>20</v>
      </c>
      <c r="C23" s="7">
        <f>INDEX(Sheet2!$B$2:$B$65,$B23+1)</f>
        <v>3593408605</v>
      </c>
      <c r="D23" s="7">
        <f>INDEX(Sheet2!$C$2:$C$65,$B23+1)</f>
        <v>5</v>
      </c>
      <c r="E23" s="7">
        <f>INDEX(Sheet2!$D$2:$D$65,$B23+1)</f>
        <v>5</v>
      </c>
      <c r="F23" s="7">
        <f>INDEX(Sheet3!$AY$2:$BN$11,$A23,$E23+1)</f>
        <v>0</v>
      </c>
      <c r="G23" s="7">
        <f>IF($B23&lt;16,_xlfn.BITOR(_xlfn.BITAND($K22,$L22),_xlfn.BITAND(4294967295-$K22,$M22)),IF($B23&lt;32,_xlfn.BITOR(_xlfn.BITAND($M22,$K22),_xlfn.BITAND(4294967295-$M22,$L22)),IF($B23&lt;48,_xlfn.BITXOR(_xlfn.BITXOR($K22,$L22),$M22),_xlfn.BITXOR($L22,_xlfn.BITOR($K22,4294967295-$M22)))))</f>
        <v>374908181</v>
      </c>
      <c r="H23" s="7">
        <f>MOD($G23+$J22+$C23+$F23,4294967296)</f>
        <v>1913505081</v>
      </c>
      <c r="I23" s="7">
        <f>MOD($H23,2^(32-$D23))*2^$D23+INT($H23/2^(32-$D23))</f>
        <v>1102620462</v>
      </c>
      <c r="J23" s="7">
        <f>$M22</f>
        <v>1609158984</v>
      </c>
      <c r="K23" s="7">
        <f>MOD($K22+$I23,4294967296)</f>
        <v>1477784789</v>
      </c>
      <c r="L23" s="7">
        <f>$K22</f>
        <v>375164327</v>
      </c>
      <c r="M23" s="7">
        <f>$L22</f>
        <v>1557722453</v>
      </c>
    </row>
    <row r="24" spans="1:13">
      <c r="A24" s="7">
        <v>1</v>
      </c>
      <c r="B24" s="7">
        <v>21</v>
      </c>
      <c r="C24" s="7">
        <f>INDEX(Sheet2!$B$2:$B$65,$B24+1)</f>
        <v>38016083</v>
      </c>
      <c r="D24" s="7">
        <f>INDEX(Sheet2!$C$2:$C$65,$B24+1)</f>
        <v>9</v>
      </c>
      <c r="E24" s="7">
        <f>INDEX(Sheet2!$D$2:$D$65,$B24+1)</f>
        <v>10</v>
      </c>
      <c r="F24" s="7">
        <f>INDEX(Sheet3!$AY$2:$BN$11,$A24,$E24+1)</f>
        <v>0</v>
      </c>
      <c r="G24" s="7">
        <f>IF($B24&lt;16,_xlfn.BITOR(_xlfn.BITAND($K23,$L23),_xlfn.BITAND(4294967295-$K23,$M23)),IF($B24&lt;32,_xlfn.BITOR(_xlfn.BITAND($M23,$K23),_xlfn.BITAND(4294967295-$M23,$L23)),IF($B24&lt;48,_xlfn.BITXOR(_xlfn.BITXOR($K23,$L23),$M23),_xlfn.BITXOR($L23,_xlfn.BITOR($K23,4294967295-$M23)))))</f>
        <v>1511275767</v>
      </c>
      <c r="H24" s="7">
        <f>MOD($G24+$J23+$C24+$F24,4294967296)</f>
        <v>3158450834</v>
      </c>
      <c r="I24" s="7">
        <f>MOD($H24,2^(32-$D24))*2^$D24+INT($H24/2^(32-$D24))</f>
        <v>2219124088</v>
      </c>
      <c r="J24" s="7">
        <f>$M23</f>
        <v>1557722453</v>
      </c>
      <c r="K24" s="7">
        <f>MOD($K23+$I24,4294967296)</f>
        <v>3696908877</v>
      </c>
      <c r="L24" s="7">
        <f>$K23</f>
        <v>1477784789</v>
      </c>
      <c r="M24" s="7">
        <f>$L23</f>
        <v>375164327</v>
      </c>
    </row>
    <row r="25" spans="1:13">
      <c r="A25" s="7">
        <v>1</v>
      </c>
      <c r="B25" s="7">
        <v>22</v>
      </c>
      <c r="C25" s="7">
        <f>INDEX(Sheet2!$B$2:$B$65,$B25+1)</f>
        <v>3634488961</v>
      </c>
      <c r="D25" s="7">
        <f>INDEX(Sheet2!$C$2:$C$65,$B25+1)</f>
        <v>14</v>
      </c>
      <c r="E25" s="7">
        <f>INDEX(Sheet2!$D$2:$D$65,$B25+1)</f>
        <v>15</v>
      </c>
      <c r="F25" s="7">
        <f>INDEX(Sheet3!$AY$2:$BN$11,$A25,$E25+1)</f>
        <v>0</v>
      </c>
      <c r="G25" s="7">
        <f>IF($B25&lt;16,_xlfn.BITOR(_xlfn.BITAND($K24,$L24),_xlfn.BITAND(4294967295-$K24,$M24)),IF($B25&lt;32,_xlfn.BITOR(_xlfn.BITAND($M24,$K24),_xlfn.BITAND(4294967295-$M24,$L24)),IF($B25&lt;48,_xlfn.BITXOR(_xlfn.BITXOR($K24,$L24),$M24),_xlfn.BITXOR($L24,_xlfn.BITOR($K24,4294967295-$M24)))))</f>
        <v>1549350997</v>
      </c>
      <c r="H25" s="7">
        <f>MOD($G25+$J24+$C25+$F25,4294967296)</f>
        <v>2446595115</v>
      </c>
      <c r="I25" s="7">
        <f>MOD($H25,2^(32-$D25))*2^$D25+INT($H25/2^(32-$D25))</f>
        <v>84599925</v>
      </c>
      <c r="J25" s="7">
        <f>$M24</f>
        <v>375164327</v>
      </c>
      <c r="K25" s="7">
        <f>MOD($K24+$I25,4294967296)</f>
        <v>3781508802</v>
      </c>
      <c r="L25" s="7">
        <f>$K24</f>
        <v>3696908877</v>
      </c>
      <c r="M25" s="7">
        <f>$L24</f>
        <v>1477784789</v>
      </c>
    </row>
    <row r="26" spans="1:13">
      <c r="A26" s="7">
        <v>1</v>
      </c>
      <c r="B26" s="7">
        <v>23</v>
      </c>
      <c r="C26" s="7">
        <f>INDEX(Sheet2!$B$2:$B$65,$B26+1)</f>
        <v>3889429448</v>
      </c>
      <c r="D26" s="7">
        <f>INDEX(Sheet2!$C$2:$C$65,$B26+1)</f>
        <v>20</v>
      </c>
      <c r="E26" s="7">
        <f>INDEX(Sheet2!$D$2:$D$65,$B26+1)</f>
        <v>4</v>
      </c>
      <c r="F26" s="7">
        <f>INDEX(Sheet3!$AY$2:$BN$11,$A26,$E26+1)</f>
        <v>2151628607</v>
      </c>
      <c r="G26" s="7">
        <f>IF($B26&lt;16,_xlfn.BITOR(_xlfn.BITAND($K25,$L25),_xlfn.BITAND(4294967295-$K25,$M25)),IF($B26&lt;32,_xlfn.BITOR(_xlfn.BITAND($M25,$K25),_xlfn.BITAND(4294967295-$M25,$L25)),IF($B26&lt;48,_xlfn.BITXOR(_xlfn.BITXOR($K25,$L25),$M25),_xlfn.BITXOR($L25,_xlfn.BITOR($K25,4294967295-$M25)))))</f>
        <v>3293544136</v>
      </c>
      <c r="H26" s="7">
        <f>MOD($G26+$J25+$C26+$F26,4294967296)</f>
        <v>1119831926</v>
      </c>
      <c r="I26" s="7">
        <f>MOD($H26,2^(32-$D26))*2^$D26+INT($H26/2^(32-$D26))</f>
        <v>2003053556</v>
      </c>
      <c r="J26" s="7">
        <f>$M25</f>
        <v>1477784789</v>
      </c>
      <c r="K26" s="7">
        <f>MOD($K25+$I26,4294967296)</f>
        <v>1489595062</v>
      </c>
      <c r="L26" s="7">
        <f>$K25</f>
        <v>3781508802</v>
      </c>
      <c r="M26" s="7">
        <f>$L25</f>
        <v>3696908877</v>
      </c>
    </row>
    <row r="27" spans="1:13">
      <c r="A27" s="7">
        <v>1</v>
      </c>
      <c r="B27" s="7">
        <v>24</v>
      </c>
      <c r="C27" s="7">
        <f>INDEX(Sheet2!$B$2:$B$65,$B27+1)</f>
        <v>568446438</v>
      </c>
      <c r="D27" s="7">
        <f>INDEX(Sheet2!$C$2:$C$65,$B27+1)</f>
        <v>5</v>
      </c>
      <c r="E27" s="7">
        <f>INDEX(Sheet2!$D$2:$D$65,$B27+1)</f>
        <v>9</v>
      </c>
      <c r="F27" s="7">
        <f>INDEX(Sheet3!$AY$2:$BN$11,$A27,$E27+1)</f>
        <v>0</v>
      </c>
      <c r="G27" s="7">
        <f>IF($B27&lt;16,_xlfn.BITOR(_xlfn.BITAND($K26,$L26),_xlfn.BITAND(4294967295-$K26,$M26)),IF($B27&lt;32,_xlfn.BITOR(_xlfn.BITAND($M26,$K26),_xlfn.BITAND(4294967295-$M26,$L26)),IF($B27&lt;48,_xlfn.BITXOR(_xlfn.BITXOR($K26,$L26),$M26),_xlfn.BITXOR($L26,_xlfn.BITOR($K26,4294967295-$M26)))))</f>
        <v>2037214854</v>
      </c>
      <c r="H27" s="7">
        <f>MOD($G27+$J26+$C27+$F27,4294967296)</f>
        <v>4083446081</v>
      </c>
      <c r="I27" s="7">
        <f>MOD($H27,2^(32-$D27))*2^$D27+INT($H27/2^(32-$D27))</f>
        <v>1821255742</v>
      </c>
      <c r="J27" s="7">
        <f>$M26</f>
        <v>3696908877</v>
      </c>
      <c r="K27" s="7">
        <f>MOD($K26+$I27,4294967296)</f>
        <v>3310850804</v>
      </c>
      <c r="L27" s="7">
        <f>$K26</f>
        <v>1489595062</v>
      </c>
      <c r="M27" s="7">
        <f>$L26</f>
        <v>3781508802</v>
      </c>
    </row>
    <row r="28" spans="1:13">
      <c r="A28" s="7">
        <v>1</v>
      </c>
      <c r="B28" s="7">
        <v>25</v>
      </c>
      <c r="C28" s="7">
        <f>INDEX(Sheet2!$B$2:$B$65,$B28+1)</f>
        <v>3275163606</v>
      </c>
      <c r="D28" s="7">
        <f>INDEX(Sheet2!$C$2:$C$65,$B28+1)</f>
        <v>9</v>
      </c>
      <c r="E28" s="7">
        <f>INDEX(Sheet2!$D$2:$D$65,$B28+1)</f>
        <v>14</v>
      </c>
      <c r="F28" s="7">
        <f>INDEX(Sheet3!$AY$2:$BN$11,$A28,$E28+1)</f>
        <v>152</v>
      </c>
      <c r="G28" s="7">
        <f>IF($B28&lt;16,_xlfn.BITOR(_xlfn.BITAND($K27,$L27),_xlfn.BITAND(4294967295-$K27,$M27)),IF($B28&lt;32,_xlfn.BITOR(_xlfn.BITAND($M27,$K27),_xlfn.BITAND(4294967295-$M27,$L27)),IF($B28&lt;48,_xlfn.BITXOR(_xlfn.BITXOR($K27,$L27),$M27),_xlfn.BITXOR($L27,_xlfn.BITOR($K27,4294967295-$M27)))))</f>
        <v>3654111988</v>
      </c>
      <c r="H28" s="7">
        <f>MOD($G28+$J27+$C28+$F28,4294967296)</f>
        <v>2036250031</v>
      </c>
      <c r="I28" s="7">
        <f>MOD($H28,2^(32-$D28))*2^$D28+INT($H28/2^(32-$D28))</f>
        <v>3177930482</v>
      </c>
      <c r="J28" s="7">
        <f>$M27</f>
        <v>3781508802</v>
      </c>
      <c r="K28" s="7">
        <f>MOD($K27+$I28,4294967296)</f>
        <v>2193813990</v>
      </c>
      <c r="L28" s="7">
        <f>$K27</f>
        <v>3310850804</v>
      </c>
      <c r="M28" s="7">
        <f>$L27</f>
        <v>1489595062</v>
      </c>
    </row>
    <row r="29" spans="1:13">
      <c r="A29" s="7">
        <v>1</v>
      </c>
      <c r="B29" s="7">
        <v>26</v>
      </c>
      <c r="C29" s="7">
        <f>INDEX(Sheet2!$B$2:$B$65,$B29+1)</f>
        <v>4107603335</v>
      </c>
      <c r="D29" s="7">
        <f>INDEX(Sheet2!$C$2:$C$65,$B29+1)</f>
        <v>14</v>
      </c>
      <c r="E29" s="7">
        <f>INDEX(Sheet2!$D$2:$D$65,$B29+1)</f>
        <v>3</v>
      </c>
      <c r="F29" s="7">
        <f>INDEX(Sheet3!$AY$2:$BN$11,$A29,$E29+1)</f>
        <v>1953248371</v>
      </c>
      <c r="G29" s="7">
        <f>IF($B29&lt;16,_xlfn.BITOR(_xlfn.BITAND($K28,$L28),_xlfn.BITAND(4294967295-$K28,$M28)),IF($B29&lt;32,_xlfn.BITOR(_xlfn.BITAND($M28,$K28),_xlfn.BITAND(4294967295-$M28,$L28)),IF($B29&lt;48,_xlfn.BITXOR(_xlfn.BITXOR($K28,$L28),$M28),_xlfn.BITXOR($L28,_xlfn.BITOR($K28,4294967295-$M28)))))</f>
        <v>2245456102</v>
      </c>
      <c r="H29" s="7">
        <f>MOD($G29+$J28+$C29+$F29,4294967296)</f>
        <v>3497882018</v>
      </c>
      <c r="I29" s="7">
        <f>MOD($H29,2^(32-$D29))*2^$D29+INT($H29/2^(32-$D29))</f>
        <v>1550365727</v>
      </c>
      <c r="J29" s="7">
        <f>$M28</f>
        <v>1489595062</v>
      </c>
      <c r="K29" s="7">
        <f>MOD($K28+$I29,4294967296)</f>
        <v>3744179717</v>
      </c>
      <c r="L29" s="7">
        <f>$K28</f>
        <v>2193813990</v>
      </c>
      <c r="M29" s="7">
        <f>$L28</f>
        <v>3310850804</v>
      </c>
    </row>
    <row r="30" spans="1:13">
      <c r="A30" s="7">
        <v>1</v>
      </c>
      <c r="B30" s="7">
        <v>27</v>
      </c>
      <c r="C30" s="7">
        <f>INDEX(Sheet2!$B$2:$B$65,$B30+1)</f>
        <v>1163531501</v>
      </c>
      <c r="D30" s="7">
        <f>INDEX(Sheet2!$C$2:$C$65,$B30+1)</f>
        <v>20</v>
      </c>
      <c r="E30" s="7">
        <f>INDEX(Sheet2!$D$2:$D$65,$B30+1)</f>
        <v>8</v>
      </c>
      <c r="F30" s="7">
        <f>INDEX(Sheet3!$AY$2:$BN$11,$A30,$E30+1)</f>
        <v>0</v>
      </c>
      <c r="G30" s="7">
        <f>IF($B30&lt;16,_xlfn.BITOR(_xlfn.BITAND($K29,$L29),_xlfn.BITAND(4294967295-$K29,$M29)),IF($B30&lt;32,_xlfn.BITOR(_xlfn.BITAND($M29,$K29),_xlfn.BITAND(4294967295-$M29,$L29)),IF($B30&lt;48,_xlfn.BITXOR(_xlfn.BITXOR($K29,$L29),$M29),_xlfn.BITXOR($L29,_xlfn.BITOR($K29,4294967295-$M29)))))</f>
        <v>3347309318</v>
      </c>
      <c r="H30" s="7">
        <f>MOD($G30+$J29+$C30+$F30,4294967296)</f>
        <v>1705468585</v>
      </c>
      <c r="I30" s="7">
        <f>MOD($H30,2^(32-$D30))*2^$D30+INT($H30/2^(32-$D30))</f>
        <v>714496630</v>
      </c>
      <c r="J30" s="7">
        <f>$M29</f>
        <v>3310850804</v>
      </c>
      <c r="K30" s="7">
        <f>MOD($K29+$I30,4294967296)</f>
        <v>163709051</v>
      </c>
      <c r="L30" s="7">
        <f>$K29</f>
        <v>3744179717</v>
      </c>
      <c r="M30" s="7">
        <f>$L29</f>
        <v>2193813990</v>
      </c>
    </row>
    <row r="31" spans="1:13">
      <c r="A31" s="7">
        <v>1</v>
      </c>
      <c r="B31" s="7">
        <v>28</v>
      </c>
      <c r="C31" s="7">
        <f>INDEX(Sheet2!$B$2:$B$65,$B31+1)</f>
        <v>2850285829</v>
      </c>
      <c r="D31" s="7">
        <f>INDEX(Sheet2!$C$2:$C$65,$B31+1)</f>
        <v>5</v>
      </c>
      <c r="E31" s="7">
        <f>INDEX(Sheet2!$D$2:$D$65,$B31+1)</f>
        <v>13</v>
      </c>
      <c r="F31" s="7">
        <f>INDEX(Sheet3!$AY$2:$BN$11,$A31,$E31+1)</f>
        <v>0</v>
      </c>
      <c r="G31" s="7">
        <f>IF($B31&lt;16,_xlfn.BITOR(_xlfn.BITAND($K30,$L30),_xlfn.BITAND(4294967295-$K30,$M30)),IF($B31&lt;32,_xlfn.BITOR(_xlfn.BITAND($M30,$K30),_xlfn.BITAND(4294967295-$M30,$L30)),IF($B31&lt;48,_xlfn.BITXOR(_xlfn.BITXOR($K30,$L30),$M30),_xlfn.BITXOR($L30,_xlfn.BITOR($K30,4294967295-$M30)))))</f>
        <v>1575683683</v>
      </c>
      <c r="H31" s="7">
        <f>MOD($G31+$J30+$C31+$F31,4294967296)</f>
        <v>3441853020</v>
      </c>
      <c r="I31" s="7">
        <f>MOD($H31,2^(32-$D31))*2^$D31+INT($H31/2^(32-$D31))</f>
        <v>2765114265</v>
      </c>
      <c r="J31" s="7">
        <f>$M30</f>
        <v>2193813990</v>
      </c>
      <c r="K31" s="7">
        <f>MOD($K30+$I31,4294967296)</f>
        <v>2928823316</v>
      </c>
      <c r="L31" s="7">
        <f>$K30</f>
        <v>163709051</v>
      </c>
      <c r="M31" s="7">
        <f>$L30</f>
        <v>3744179717</v>
      </c>
    </row>
    <row r="32" spans="1:13">
      <c r="A32" s="7">
        <v>1</v>
      </c>
      <c r="B32" s="7">
        <v>29</v>
      </c>
      <c r="C32" s="7">
        <f>INDEX(Sheet2!$B$2:$B$65,$B32+1)</f>
        <v>4243563512</v>
      </c>
      <c r="D32" s="7">
        <f>INDEX(Sheet2!$C$2:$C$65,$B32+1)</f>
        <v>9</v>
      </c>
      <c r="E32" s="7">
        <f>INDEX(Sheet2!$D$2:$D$65,$B32+1)</f>
        <v>2</v>
      </c>
      <c r="F32" s="7">
        <f>INDEX(Sheet3!$AY$2:$BN$11,$A32,$E32+1)</f>
        <v>1601792820</v>
      </c>
      <c r="G32" s="7">
        <f>IF($B32&lt;16,_xlfn.BITOR(_xlfn.BITAND($K31,$L31),_xlfn.BITAND(4294967295-$K31,$M31)),IF($B32&lt;32,_xlfn.BITOR(_xlfn.BITAND($M31,$K31),_xlfn.BITAND(4294967295-$M31,$L31)),IF($B32&lt;48,_xlfn.BITXOR(_xlfn.BITXOR($K31,$L31),$M31),_xlfn.BITXOR($L31,_xlfn.BITOR($K31,4294967295-$M31)))))</f>
        <v>2395079806</v>
      </c>
      <c r="H32" s="7">
        <f>MOD($G32+$J31+$C32+$F32,4294967296)</f>
        <v>1844315536</v>
      </c>
      <c r="I32" s="7">
        <f>MOD($H32,2^(32-$D32))*2^$D32+INT($H32/2^(32-$D32))</f>
        <v>3691716827</v>
      </c>
      <c r="J32" s="7">
        <f>$M31</f>
        <v>3744179717</v>
      </c>
      <c r="K32" s="7">
        <f>MOD($K31+$I32,4294967296)</f>
        <v>2325572847</v>
      </c>
      <c r="L32" s="7">
        <f>$K31</f>
        <v>2928823316</v>
      </c>
      <c r="M32" s="7">
        <f>$L31</f>
        <v>163709051</v>
      </c>
    </row>
    <row r="33" spans="1:13">
      <c r="A33" s="7">
        <v>1</v>
      </c>
      <c r="B33" s="7">
        <v>30</v>
      </c>
      <c r="C33" s="7">
        <f>INDEX(Sheet2!$B$2:$B$65,$B33+1)</f>
        <v>1735328473</v>
      </c>
      <c r="D33" s="7">
        <f>INDEX(Sheet2!$C$2:$C$65,$B33+1)</f>
        <v>14</v>
      </c>
      <c r="E33" s="7">
        <f>INDEX(Sheet2!$D$2:$D$65,$B33+1)</f>
        <v>7</v>
      </c>
      <c r="F33" s="7">
        <f>INDEX(Sheet3!$AY$2:$BN$11,$A33,$E33+1)</f>
        <v>0</v>
      </c>
      <c r="G33" s="7">
        <f>IF($B33&lt;16,_xlfn.BITOR(_xlfn.BITAND($K32,$L32),_xlfn.BITAND(4294967295-$K32,$M32)),IF($B33&lt;32,_xlfn.BITOR(_xlfn.BITAND($M32,$K32),_xlfn.BITAND(4294967295-$M32,$L32)),IF($B33&lt;48,_xlfn.BITXOR(_xlfn.BITXOR($K32,$L32),$M32),_xlfn.BITXOR($L32,_xlfn.BITOR($K32,4294967295-$M32)))))</f>
        <v>2928692335</v>
      </c>
      <c r="H33" s="7">
        <f>MOD($G33+$J32+$C33+$F33,4294967296)</f>
        <v>4113233229</v>
      </c>
      <c r="I33" s="7">
        <f>MOD($H33,2^(32-$D33))*2^$D33+INT($H33/2^(32-$D33))</f>
        <v>3176365386</v>
      </c>
      <c r="J33" s="7">
        <f>$M32</f>
        <v>163709051</v>
      </c>
      <c r="K33" s="7">
        <f>MOD($K32+$I33,4294967296)</f>
        <v>1206970937</v>
      </c>
      <c r="L33" s="7">
        <f>$K32</f>
        <v>2325572847</v>
      </c>
      <c r="M33" s="7">
        <f>$L32</f>
        <v>2928823316</v>
      </c>
    </row>
    <row r="34" spans="1:13">
      <c r="A34" s="7">
        <v>1</v>
      </c>
      <c r="B34" s="7">
        <v>31</v>
      </c>
      <c r="C34" s="7">
        <f>INDEX(Sheet2!$B$2:$B$65,$B34+1)</f>
        <v>2368359562</v>
      </c>
      <c r="D34" s="7">
        <f>INDEX(Sheet2!$C$2:$C$65,$B34+1)</f>
        <v>20</v>
      </c>
      <c r="E34" s="7">
        <f>INDEX(Sheet2!$D$2:$D$65,$B34+1)</f>
        <v>12</v>
      </c>
      <c r="F34" s="7">
        <f>INDEX(Sheet3!$AY$2:$BN$11,$A34,$E34+1)</f>
        <v>0</v>
      </c>
      <c r="G34" s="7">
        <f>IF($B34&lt;16,_xlfn.BITOR(_xlfn.BITAND($K33,$L33),_xlfn.BITAND(4294967295-$K33,$M33)),IF($B34&lt;32,_xlfn.BITOR(_xlfn.BITAND($M33,$K33),_xlfn.BITAND(4294967295-$M33,$L33)),IF($B34&lt;48,_xlfn.BITXOR(_xlfn.BITXOR($K33,$L33),$M33),_xlfn.BITXOR($L33,_xlfn.BITOR($K33,4294967295-$M33)))))</f>
        <v>110979323</v>
      </c>
      <c r="H34" s="7">
        <f>MOD($G34+$J33+$C34+$F34,4294967296)</f>
        <v>2643047936</v>
      </c>
      <c r="I34" s="7">
        <f>MOD($H34,2^(32-$D34))*2^$D34+INT($H34/2^(32-$D34))</f>
        <v>1611258011</v>
      </c>
      <c r="J34" s="7">
        <f>$M33</f>
        <v>2928823316</v>
      </c>
      <c r="K34" s="7">
        <f>MOD($K33+$I34,4294967296)</f>
        <v>2818228948</v>
      </c>
      <c r="L34" s="7">
        <f>$K33</f>
        <v>1206970937</v>
      </c>
      <c r="M34" s="7">
        <f>$L33</f>
        <v>2325572847</v>
      </c>
    </row>
    <row r="35" spans="1:13">
      <c r="A35" s="7">
        <v>1</v>
      </c>
      <c r="B35" s="7">
        <v>32</v>
      </c>
      <c r="C35" s="7">
        <f>INDEX(Sheet2!$B$2:$B$65,$B35+1)</f>
        <v>4294588738</v>
      </c>
      <c r="D35" s="7">
        <f>INDEX(Sheet2!$C$2:$C$65,$B35+1)</f>
        <v>4</v>
      </c>
      <c r="E35" s="7">
        <f>INDEX(Sheet2!$D$2:$D$65,$B35+1)</f>
        <v>5</v>
      </c>
      <c r="F35" s="7">
        <f>INDEX(Sheet3!$AY$2:$BN$11,$A35,$E35+1)</f>
        <v>0</v>
      </c>
      <c r="G35" s="7">
        <f>IF($B35&lt;16,_xlfn.BITOR(_xlfn.BITAND($K34,$L34),_xlfn.BITAND(4294967295-$K34,$M34)),IF($B35&lt;32,_xlfn.BITOR(_xlfn.BITAND($M34,$K34),_xlfn.BITAND(4294967295-$M34,$L34)),IF($B35&lt;48,_xlfn.BITXOR(_xlfn.BITXOR($K34,$L34),$M34),_xlfn.BITXOR($L34,_xlfn.BITOR($K34,4294967295-$M34)))))</f>
        <v>1788298242</v>
      </c>
      <c r="H35" s="7">
        <f>MOD($G35+$J34+$C35+$F35,4294967296)</f>
        <v>421775704</v>
      </c>
      <c r="I35" s="7">
        <f>MOD($H35,2^(32-$D35))*2^$D35+INT($H35/2^(32-$D35))</f>
        <v>2453443969</v>
      </c>
      <c r="J35" s="7">
        <f>$M34</f>
        <v>2325572847</v>
      </c>
      <c r="K35" s="7">
        <f>MOD($K34+$I35,4294967296)</f>
        <v>976705621</v>
      </c>
      <c r="L35" s="7">
        <f>$K34</f>
        <v>2818228948</v>
      </c>
      <c r="M35" s="7">
        <f>$L34</f>
        <v>1206970937</v>
      </c>
    </row>
    <row r="36" spans="1:13">
      <c r="A36" s="7">
        <v>1</v>
      </c>
      <c r="B36" s="7">
        <v>33</v>
      </c>
      <c r="C36" s="7">
        <f>INDEX(Sheet2!$B$2:$B$65,$B36+1)</f>
        <v>2272392833</v>
      </c>
      <c r="D36" s="7">
        <f>INDEX(Sheet2!$C$2:$C$65,$B36+1)</f>
        <v>11</v>
      </c>
      <c r="E36" s="7">
        <f>INDEX(Sheet2!$D$2:$D$65,$B36+1)</f>
        <v>8</v>
      </c>
      <c r="F36" s="7">
        <f>INDEX(Sheet3!$AY$2:$BN$11,$A36,$E36+1)</f>
        <v>0</v>
      </c>
      <c r="G36" s="7">
        <f>IF($B36&lt;16,_xlfn.BITOR(_xlfn.BITAND($K35,$L35),_xlfn.BITAND(4294967295-$K35,$M35)),IF($B36&lt;32,_xlfn.BITOR(_xlfn.BITAND($M35,$K35),_xlfn.BITAND(4294967295-$M35,$L35)),IF($B36&lt;48,_xlfn.BITXOR(_xlfn.BITXOR($K35,$L35),$M35),_xlfn.BITXOR($L35,_xlfn.BITOR($K35,4294967295-$M35)))))</f>
        <v>3661459640</v>
      </c>
      <c r="H36" s="7">
        <f>MOD($G36+$J35+$C36+$F36,4294967296)</f>
        <v>3964458024</v>
      </c>
      <c r="I36" s="7">
        <f>MOD($H36,2^(32-$D36))*2^$D36+INT($H36/2^(32-$D36))</f>
        <v>1721845602</v>
      </c>
      <c r="J36" s="7">
        <f>$M35</f>
        <v>1206970937</v>
      </c>
      <c r="K36" s="7">
        <f>MOD($K35+$I36,4294967296)</f>
        <v>2698551223</v>
      </c>
      <c r="L36" s="7">
        <f>$K35</f>
        <v>976705621</v>
      </c>
      <c r="M36" s="7">
        <f>$L35</f>
        <v>2818228948</v>
      </c>
    </row>
    <row r="37" spans="1:13">
      <c r="A37" s="7">
        <v>1</v>
      </c>
      <c r="B37" s="7">
        <v>34</v>
      </c>
      <c r="C37" s="7">
        <f>INDEX(Sheet2!$B$2:$B$65,$B37+1)</f>
        <v>1839030562</v>
      </c>
      <c r="D37" s="7">
        <f>INDEX(Sheet2!$C$2:$C$65,$B37+1)</f>
        <v>16</v>
      </c>
      <c r="E37" s="7">
        <f>INDEX(Sheet2!$D$2:$D$65,$B37+1)</f>
        <v>11</v>
      </c>
      <c r="F37" s="7">
        <f>INDEX(Sheet3!$AY$2:$BN$11,$A37,$E37+1)</f>
        <v>0</v>
      </c>
      <c r="G37" s="7">
        <f>IF($B37&lt;16,_xlfn.BITOR(_xlfn.BITAND($K36,$L36),_xlfn.BITAND(4294967295-$K36,$M36)),IF($B37&lt;32,_xlfn.BITOR(_xlfn.BITAND($M36,$K36),_xlfn.BITAND(4294967295-$M36,$L36)),IF($B37&lt;48,_xlfn.BITXOR(_xlfn.BITXOR($K36,$L36),$M36),_xlfn.BITXOR($L36,_xlfn.BITOR($K36,4294967295-$M36)))))</f>
        <v>1024787766</v>
      </c>
      <c r="H37" s="7">
        <f>MOD($G37+$J36+$C37+$F37,4294967296)</f>
        <v>4070789265</v>
      </c>
      <c r="I37" s="7">
        <f>MOD($H37,2^(32-$D37))*2^$D37+INT($H37/2^(32-$D37))</f>
        <v>1351742115</v>
      </c>
      <c r="J37" s="7">
        <f>$M36</f>
        <v>2818228948</v>
      </c>
      <c r="K37" s="7">
        <f>MOD($K36+$I37,4294967296)</f>
        <v>4050293338</v>
      </c>
      <c r="L37" s="7">
        <f>$K36</f>
        <v>2698551223</v>
      </c>
      <c r="M37" s="7">
        <f>$L36</f>
        <v>976705621</v>
      </c>
    </row>
    <row r="38" spans="1:13">
      <c r="A38" s="7">
        <v>1</v>
      </c>
      <c r="B38" s="7">
        <v>35</v>
      </c>
      <c r="C38" s="7">
        <f>INDEX(Sheet2!$B$2:$B$65,$B38+1)</f>
        <v>4259657740</v>
      </c>
      <c r="D38" s="7">
        <f>INDEX(Sheet2!$C$2:$C$65,$B38+1)</f>
        <v>23</v>
      </c>
      <c r="E38" s="7">
        <f>INDEX(Sheet2!$D$2:$D$65,$B38+1)</f>
        <v>14</v>
      </c>
      <c r="F38" s="7">
        <f>INDEX(Sheet3!$AY$2:$BN$11,$A38,$E38+1)</f>
        <v>152</v>
      </c>
      <c r="G38" s="7">
        <f>IF($B38&lt;16,_xlfn.BITOR(_xlfn.BITAND($K37,$L37),_xlfn.BITAND(4294967295-$K37,$M37)),IF($B38&lt;32,_xlfn.BITOR(_xlfn.BITAND($M37,$K37),_xlfn.BITAND(4294967295-$M37,$L37)),IF($B38&lt;48,_xlfn.BITXOR(_xlfn.BITXOR($K37,$L37),$M37),_xlfn.BITXOR($L37,_xlfn.BITOR($K37,4294967295-$M37)))))</f>
        <v>1803900344</v>
      </c>
      <c r="H38" s="7">
        <f>MOD($G38+$J37+$C38+$F38,4294967296)</f>
        <v>291852592</v>
      </c>
      <c r="I38" s="7">
        <f>MOD($H38,2^(32-$D38))*2^$D38+INT($H38/2^(32-$D38))</f>
        <v>2550706856</v>
      </c>
      <c r="J38" s="7">
        <f>$M37</f>
        <v>976705621</v>
      </c>
      <c r="K38" s="7">
        <f>MOD($K37+$I38,4294967296)</f>
        <v>2306032898</v>
      </c>
      <c r="L38" s="7">
        <f>$K37</f>
        <v>4050293338</v>
      </c>
      <c r="M38" s="7">
        <f>$L37</f>
        <v>2698551223</v>
      </c>
    </row>
    <row r="39" spans="1:13">
      <c r="A39" s="7">
        <v>1</v>
      </c>
      <c r="B39" s="7">
        <v>36</v>
      </c>
      <c r="C39" s="7">
        <f>INDEX(Sheet2!$B$2:$B$65,$B39+1)</f>
        <v>2763975236</v>
      </c>
      <c r="D39" s="7">
        <f>INDEX(Sheet2!$C$2:$C$65,$B39+1)</f>
        <v>4</v>
      </c>
      <c r="E39" s="7">
        <f>INDEX(Sheet2!$D$2:$D$65,$B39+1)</f>
        <v>1</v>
      </c>
      <c r="F39" s="7">
        <f>INDEX(Sheet3!$AY$2:$BN$11,$A39,$E39+1)</f>
        <v>862876511</v>
      </c>
      <c r="G39" s="7">
        <f>IF($B39&lt;16,_xlfn.BITOR(_xlfn.BITAND($K38,$L38),_xlfn.BITAND(4294967295-$K38,$M38)),IF($B39&lt;32,_xlfn.BITOR(_xlfn.BITAND($M38,$K38),_xlfn.BITAND(4294967295-$M38,$L38)),IF($B39&lt;48,_xlfn.BITXOR(_xlfn.BITXOR($K38,$L38),$M38),_xlfn.BITXOR($L38,_xlfn.BITOR($K38,4294967295-$M38)))))</f>
        <v>3636545775</v>
      </c>
      <c r="H39" s="7">
        <f>MOD($G39+$J38+$C39+$F39,4294967296)</f>
        <v>3945135847</v>
      </c>
      <c r="I39" s="7">
        <f>MOD($H39,2^(32-$D39))*2^$D39+INT($H39/2^(32-$D39))</f>
        <v>2992631422</v>
      </c>
      <c r="J39" s="7">
        <f>$M38</f>
        <v>2698551223</v>
      </c>
      <c r="K39" s="7">
        <f>MOD($K38+$I39,4294967296)</f>
        <v>1003697024</v>
      </c>
      <c r="L39" s="7">
        <f>$K38</f>
        <v>2306032898</v>
      </c>
      <c r="M39" s="7">
        <f>$L38</f>
        <v>4050293338</v>
      </c>
    </row>
    <row r="40" spans="1:13">
      <c r="A40" s="7">
        <v>1</v>
      </c>
      <c r="B40" s="7">
        <v>37</v>
      </c>
      <c r="C40" s="7">
        <f>INDEX(Sheet2!$B$2:$B$65,$B40+1)</f>
        <v>1272893353</v>
      </c>
      <c r="D40" s="7">
        <f>INDEX(Sheet2!$C$2:$C$65,$B40+1)</f>
        <v>11</v>
      </c>
      <c r="E40" s="7">
        <f>INDEX(Sheet2!$D$2:$D$65,$B40+1)</f>
        <v>4</v>
      </c>
      <c r="F40" s="7">
        <f>INDEX(Sheet3!$AY$2:$BN$11,$A40,$E40+1)</f>
        <v>2151628607</v>
      </c>
      <c r="G40" s="7">
        <f>IF($B40&lt;16,_xlfn.BITOR(_xlfn.BITAND($K39,$L39),_xlfn.BITAND(4294967295-$K39,$M39)),IF($B40&lt;32,_xlfn.BITOR(_xlfn.BITAND($M39,$K39),_xlfn.BITAND(4294967295-$M39,$L39)),IF($B40&lt;48,_xlfn.BITXOR(_xlfn.BITXOR($K39,$L39),$M39),_xlfn.BITXOR($L39,_xlfn.BITOR($K39,4294967295-$M39)))))</f>
        <v>1137370328</v>
      </c>
      <c r="H40" s="7">
        <f>MOD($G40+$J39+$C40+$F40,4294967296)</f>
        <v>2965476215</v>
      </c>
      <c r="I40" s="7">
        <f>MOD($H40,2^(32-$D40))*2^$D40+INT($H40/2^(32-$D40))</f>
        <v>211533190</v>
      </c>
      <c r="J40" s="7">
        <f>$M39</f>
        <v>4050293338</v>
      </c>
      <c r="K40" s="7">
        <f>MOD($K39+$I40,4294967296)</f>
        <v>1215230214</v>
      </c>
      <c r="L40" s="7">
        <f>$K39</f>
        <v>1003697024</v>
      </c>
      <c r="M40" s="7">
        <f>$L39</f>
        <v>2306032898</v>
      </c>
    </row>
    <row r="41" spans="1:13">
      <c r="A41" s="7">
        <v>1</v>
      </c>
      <c r="B41" s="7">
        <v>38</v>
      </c>
      <c r="C41" s="7">
        <f>INDEX(Sheet2!$B$2:$B$65,$B41+1)</f>
        <v>4139469664</v>
      </c>
      <c r="D41" s="7">
        <f>INDEX(Sheet2!$C$2:$C$65,$B41+1)</f>
        <v>16</v>
      </c>
      <c r="E41" s="7">
        <f>INDEX(Sheet2!$D$2:$D$65,$B41+1)</f>
        <v>7</v>
      </c>
      <c r="F41" s="7">
        <f>INDEX(Sheet3!$AY$2:$BN$11,$A41,$E41+1)</f>
        <v>0</v>
      </c>
      <c r="G41" s="7">
        <f>IF($B41&lt;16,_xlfn.BITOR(_xlfn.BITAND($K40,$L40),_xlfn.BITAND(4294967295-$K40,$M40)),IF($B41&lt;32,_xlfn.BITOR(_xlfn.BITAND($M40,$K40),_xlfn.BITAND(4294967295-$M40,$L40)),IF($B41&lt;48,_xlfn.BITXOR(_xlfn.BITXOR($K40,$L40),$M40),_xlfn.BITXOR($L40,_xlfn.BITOR($K40,4294967295-$M40)))))</f>
        <v>4207839108</v>
      </c>
      <c r="H41" s="7">
        <f>MOD($G41+$J40+$C41+$F41,4294967296)</f>
        <v>3807667518</v>
      </c>
      <c r="I41" s="7">
        <f>MOD($H41,2^(32-$D41))*2^$D41+INT($H41/2^(32-$D41))</f>
        <v>1698620148</v>
      </c>
      <c r="J41" s="7">
        <f>$M40</f>
        <v>2306032898</v>
      </c>
      <c r="K41" s="7">
        <f>MOD($K40+$I41,4294967296)</f>
        <v>2913850362</v>
      </c>
      <c r="L41" s="7">
        <f>$K40</f>
        <v>1215230214</v>
      </c>
      <c r="M41" s="7">
        <f>$L40</f>
        <v>1003697024</v>
      </c>
    </row>
    <row r="42" spans="1:13">
      <c r="A42" s="7">
        <v>1</v>
      </c>
      <c r="B42" s="7">
        <v>39</v>
      </c>
      <c r="C42" s="7">
        <f>INDEX(Sheet2!$B$2:$B$65,$B42+1)</f>
        <v>3200236656</v>
      </c>
      <c r="D42" s="7">
        <f>INDEX(Sheet2!$C$2:$C$65,$B42+1)</f>
        <v>23</v>
      </c>
      <c r="E42" s="7">
        <f>INDEX(Sheet2!$D$2:$D$65,$B42+1)</f>
        <v>10</v>
      </c>
      <c r="F42" s="7">
        <f>INDEX(Sheet3!$AY$2:$BN$11,$A42,$E42+1)</f>
        <v>0</v>
      </c>
      <c r="G42" s="7">
        <f>IF($B42&lt;16,_xlfn.BITOR(_xlfn.BITAND($K41,$L41),_xlfn.BITAND(4294967295-$K41,$M41)),IF($B42&lt;32,_xlfn.BITOR(_xlfn.BITAND($M41,$K41),_xlfn.BITAND(4294967295-$M41,$L41)),IF($B42&lt;48,_xlfn.BITXOR(_xlfn.BITXOR($K41,$L41),$M41),_xlfn.BITXOR($L41,_xlfn.BITOR($K41,4294967295-$M41)))))</f>
        <v>3725595004</v>
      </c>
      <c r="H42" s="7">
        <f>MOD($G42+$J41+$C42+$F42,4294967296)</f>
        <v>641929966</v>
      </c>
      <c r="I42" s="7">
        <f>MOD($H42,2^(32-$D42))*2^$D42+INT($H42/2^(32-$D42))</f>
        <v>1997742473</v>
      </c>
      <c r="J42" s="7">
        <f>$M41</f>
        <v>1003697024</v>
      </c>
      <c r="K42" s="7">
        <f>MOD($K41+$I42,4294967296)</f>
        <v>616625539</v>
      </c>
      <c r="L42" s="7">
        <f>$K41</f>
        <v>2913850362</v>
      </c>
      <c r="M42" s="7">
        <f>$L41</f>
        <v>1215230214</v>
      </c>
    </row>
    <row r="43" spans="1:13">
      <c r="A43" s="7">
        <v>1</v>
      </c>
      <c r="B43" s="7">
        <v>40</v>
      </c>
      <c r="C43" s="7">
        <f>INDEX(Sheet2!$B$2:$B$65,$B43+1)</f>
        <v>681279174</v>
      </c>
      <c r="D43" s="7">
        <f>INDEX(Sheet2!$C$2:$C$65,$B43+1)</f>
        <v>4</v>
      </c>
      <c r="E43" s="7">
        <f>INDEX(Sheet2!$D$2:$D$65,$B43+1)</f>
        <v>13</v>
      </c>
      <c r="F43" s="7">
        <f>INDEX(Sheet3!$AY$2:$BN$11,$A43,$E43+1)</f>
        <v>0</v>
      </c>
      <c r="G43" s="7">
        <f>IF($B43&lt;16,_xlfn.BITOR(_xlfn.BITAND($K42,$L42),_xlfn.BITAND(4294967295-$K42,$M42)),IF($B43&lt;32,_xlfn.BITOR(_xlfn.BITAND($M42,$K42),_xlfn.BITAND(4294967295-$M42,$L42)),IF($B43&lt;48,_xlfn.BITXOR(_xlfn.BITXOR($K42,$L42),$M42),_xlfn.BITXOR($L42,_xlfn.BITOR($K42,4294967295-$M42)))))</f>
        <v>3238254463</v>
      </c>
      <c r="H43" s="7">
        <f>MOD($G43+$J42+$C43+$F43,4294967296)</f>
        <v>628263365</v>
      </c>
      <c r="I43" s="7">
        <f>MOD($H43,2^(32-$D43))*2^$D43+INT($H43/2^(32-$D43))</f>
        <v>1462279250</v>
      </c>
      <c r="J43" s="7">
        <f>$M42</f>
        <v>1215230214</v>
      </c>
      <c r="K43" s="7">
        <f>MOD($K42+$I43,4294967296)</f>
        <v>2078904789</v>
      </c>
      <c r="L43" s="7">
        <f>$K42</f>
        <v>616625539</v>
      </c>
      <c r="M43" s="7">
        <f>$L42</f>
        <v>2913850362</v>
      </c>
    </row>
    <row r="44" spans="1:13">
      <c r="A44" s="7">
        <v>1</v>
      </c>
      <c r="B44" s="7">
        <v>41</v>
      </c>
      <c r="C44" s="7">
        <f>INDEX(Sheet2!$B$2:$B$65,$B44+1)</f>
        <v>3936430074</v>
      </c>
      <c r="D44" s="7">
        <f>INDEX(Sheet2!$C$2:$C$65,$B44+1)</f>
        <v>11</v>
      </c>
      <c r="E44" s="7">
        <f>INDEX(Sheet2!$D$2:$D$65,$B44+1)</f>
        <v>0</v>
      </c>
      <c r="F44" s="7">
        <f>INDEX(Sheet3!$AY$2:$BN$11,$A44,$E44+1)</f>
        <v>1701654643</v>
      </c>
      <c r="G44" s="7">
        <f>IF($B44&lt;16,_xlfn.BITOR(_xlfn.BITAND($K43,$L43),_xlfn.BITAND(4294967295-$K43,$M43)),IF($B44&lt;32,_xlfn.BITOR(_xlfn.BITAND($M43,$K43),_xlfn.BITAND(4294967295-$M43,$L43)),IF($B44&lt;48,_xlfn.BITXOR(_xlfn.BITXOR($K43,$L43),$M43),_xlfn.BITXOR($L43,_xlfn.BITOR($K43,4294967295-$M43)))))</f>
        <v>4068784044</v>
      </c>
      <c r="H44" s="7">
        <f>MOD($G44+$J43+$C44+$F44,4294967296)</f>
        <v>2332164383</v>
      </c>
      <c r="I44" s="7">
        <f>MOD($H44,2^(32-$D44))*2^$D44+INT($H44/2^(32-$D44))</f>
        <v>269024344</v>
      </c>
      <c r="J44" s="7">
        <f>$M43</f>
        <v>2913850362</v>
      </c>
      <c r="K44" s="7">
        <f>MOD($K43+$I44,4294967296)</f>
        <v>2347929133</v>
      </c>
      <c r="L44" s="7">
        <f>$K43</f>
        <v>2078904789</v>
      </c>
      <c r="M44" s="7">
        <f>$L43</f>
        <v>616625539</v>
      </c>
    </row>
    <row r="45" spans="1:13">
      <c r="A45" s="7">
        <v>1</v>
      </c>
      <c r="B45" s="7">
        <v>42</v>
      </c>
      <c r="C45" s="7">
        <f>INDEX(Sheet2!$B$2:$B$65,$B45+1)</f>
        <v>3572445317</v>
      </c>
      <c r="D45" s="7">
        <f>INDEX(Sheet2!$C$2:$C$65,$B45+1)</f>
        <v>16</v>
      </c>
      <c r="E45" s="7">
        <f>INDEX(Sheet2!$D$2:$D$65,$B45+1)</f>
        <v>3</v>
      </c>
      <c r="F45" s="7">
        <f>INDEX(Sheet3!$AY$2:$BN$11,$A45,$E45+1)</f>
        <v>1953248371</v>
      </c>
      <c r="G45" s="7">
        <f>IF($B45&lt;16,_xlfn.BITOR(_xlfn.BITAND($K44,$L44),_xlfn.BITAND(4294967295-$K44,$M44)),IF($B45&lt;32,_xlfn.BITOR(_xlfn.BITAND($M44,$K44),_xlfn.BITAND(4294967295-$M44,$L44)),IF($B45&lt;48,_xlfn.BITXOR(_xlfn.BITXOR($K44,$L44),$M44),_xlfn.BITXOR($L44,_xlfn.BITOR($K44,4294967295-$M44)))))</f>
        <v>3571182203</v>
      </c>
      <c r="H45" s="7">
        <f>MOD($G45+$J44+$C45+$F45,4294967296)</f>
        <v>3420791661</v>
      </c>
      <c r="I45" s="7">
        <f>MOD($H45,2^(32-$D45))*2^$D45+INT($H45/2^(32-$D45))</f>
        <v>594398181</v>
      </c>
      <c r="J45" s="7">
        <f>$M44</f>
        <v>616625539</v>
      </c>
      <c r="K45" s="7">
        <f>MOD($K44+$I45,4294967296)</f>
        <v>2942327314</v>
      </c>
      <c r="L45" s="7">
        <f>$K44</f>
        <v>2347929133</v>
      </c>
      <c r="M45" s="7">
        <f>$L44</f>
        <v>2078904789</v>
      </c>
    </row>
    <row r="46" spans="1:13">
      <c r="A46" s="7">
        <v>1</v>
      </c>
      <c r="B46" s="7">
        <v>43</v>
      </c>
      <c r="C46" s="7">
        <f>INDEX(Sheet2!$B$2:$B$65,$B46+1)</f>
        <v>76029189</v>
      </c>
      <c r="D46" s="7">
        <f>INDEX(Sheet2!$C$2:$C$65,$B46+1)</f>
        <v>23</v>
      </c>
      <c r="E46" s="7">
        <f>INDEX(Sheet2!$D$2:$D$65,$B46+1)</f>
        <v>6</v>
      </c>
      <c r="F46" s="7">
        <f>INDEX(Sheet3!$AY$2:$BN$11,$A46,$E46+1)</f>
        <v>0</v>
      </c>
      <c r="G46" s="7">
        <f>IF($B46&lt;16,_xlfn.BITOR(_xlfn.BITAND($K45,$L45),_xlfn.BITAND(4294967295-$K45,$M45)),IF($B46&lt;32,_xlfn.BITOR(_xlfn.BITAND($M45,$K45),_xlfn.BITAND(4294967295-$M45,$L45)),IF($B46&lt;48,_xlfn.BITXOR(_xlfn.BITXOR($K45,$L45),$M45),_xlfn.BITXOR($L45,_xlfn.BITOR($K45,4294967295-$M45)))))</f>
        <v>1601914346</v>
      </c>
      <c r="H46" s="7">
        <f>MOD($G46+$J45+$C46+$F46,4294967296)</f>
        <v>2294569074</v>
      </c>
      <c r="I46" s="7">
        <f>MOD($H46,2^(32-$D46))*2^$D46+INT($H46/2^(32-$D46))</f>
        <v>960782892</v>
      </c>
      <c r="J46" s="7">
        <f>$M45</f>
        <v>2078904789</v>
      </c>
      <c r="K46" s="7">
        <f>MOD($K45+$I46,4294967296)</f>
        <v>3903110206</v>
      </c>
      <c r="L46" s="7">
        <f>$K45</f>
        <v>2942327314</v>
      </c>
      <c r="M46" s="7">
        <f>$L45</f>
        <v>2347929133</v>
      </c>
    </row>
    <row r="47" spans="1:13">
      <c r="A47" s="7">
        <v>1</v>
      </c>
      <c r="B47" s="7">
        <v>44</v>
      </c>
      <c r="C47" s="7">
        <f>INDEX(Sheet2!$B$2:$B$65,$B47+1)</f>
        <v>3654602809</v>
      </c>
      <c r="D47" s="7">
        <f>INDEX(Sheet2!$C$2:$C$65,$B47+1)</f>
        <v>4</v>
      </c>
      <c r="E47" s="7">
        <f>INDEX(Sheet2!$D$2:$D$65,$B47+1)</f>
        <v>9</v>
      </c>
      <c r="F47" s="7">
        <f>INDEX(Sheet3!$AY$2:$BN$11,$A47,$E47+1)</f>
        <v>0</v>
      </c>
      <c r="G47" s="7">
        <f>IF($B47&lt;16,_xlfn.BITOR(_xlfn.BITAND($K46,$L46),_xlfn.BITAND(4294967295-$K46,$M46)),IF($B47&lt;32,_xlfn.BITOR(_xlfn.BITAND($M46,$K46),_xlfn.BITAND(4294967295-$M46,$L46)),IF($B47&lt;48,_xlfn.BITXOR(_xlfn.BITXOR($K46,$L46),$M46),_xlfn.BITXOR($L46,_xlfn.BITOR($K46,4294967295-$M46)))))</f>
        <v>3426117633</v>
      </c>
      <c r="H47" s="7">
        <f>MOD($G47+$J46+$C47+$F47,4294967296)</f>
        <v>569690639</v>
      </c>
      <c r="I47" s="7">
        <f>MOD($H47,2^(32-$D47))*2^$D47+INT($H47/2^(32-$D47))</f>
        <v>525115634</v>
      </c>
      <c r="J47" s="7">
        <f>$M46</f>
        <v>2347929133</v>
      </c>
      <c r="K47" s="7">
        <f>MOD($K46+$I47,4294967296)</f>
        <v>133258544</v>
      </c>
      <c r="L47" s="7">
        <f>$K46</f>
        <v>3903110206</v>
      </c>
      <c r="M47" s="7">
        <f>$L46</f>
        <v>2942327314</v>
      </c>
    </row>
    <row r="48" spans="1:13">
      <c r="A48" s="7">
        <v>1</v>
      </c>
      <c r="B48" s="7">
        <v>45</v>
      </c>
      <c r="C48" s="7">
        <f>INDEX(Sheet2!$B$2:$B$65,$B48+1)</f>
        <v>3873151461</v>
      </c>
      <c r="D48" s="7">
        <f>INDEX(Sheet2!$C$2:$C$65,$B48+1)</f>
        <v>11</v>
      </c>
      <c r="E48" s="7">
        <f>INDEX(Sheet2!$D$2:$D$65,$B48+1)</f>
        <v>12</v>
      </c>
      <c r="F48" s="7">
        <f>INDEX(Sheet3!$AY$2:$BN$11,$A48,$E48+1)</f>
        <v>0</v>
      </c>
      <c r="G48" s="7">
        <f>IF($B48&lt;16,_xlfn.BITOR(_xlfn.BITAND($K47,$L47),_xlfn.BITAND(4294967295-$K47,$M47)),IF($B48&lt;32,_xlfn.BITOR(_xlfn.BITAND($M47,$K47),_xlfn.BITAND(4294967295-$M47,$L47)),IF($B48&lt;48,_xlfn.BITXOR(_xlfn.BITXOR($K47,$L47),$M47),_xlfn.BITXOR($L47,_xlfn.BITOR($K47,4294967295-$M47)))))</f>
        <v>1077263132</v>
      </c>
      <c r="H48" s="7">
        <f>MOD($G48+$J47+$C48+$F48,4294967296)</f>
        <v>3003376430</v>
      </c>
      <c r="I48" s="7">
        <f>MOD($H48,2^(32-$D48))*2^$D48+INT($H48/2^(32-$D48))</f>
        <v>521762200</v>
      </c>
      <c r="J48" s="7">
        <f>$M47</f>
        <v>2942327314</v>
      </c>
      <c r="K48" s="7">
        <f>MOD($K47+$I48,4294967296)</f>
        <v>655020744</v>
      </c>
      <c r="L48" s="7">
        <f>$K47</f>
        <v>133258544</v>
      </c>
      <c r="M48" s="7">
        <f>$L47</f>
        <v>3903110206</v>
      </c>
    </row>
    <row r="49" spans="1:13">
      <c r="A49" s="7">
        <v>1</v>
      </c>
      <c r="B49" s="7">
        <v>46</v>
      </c>
      <c r="C49" s="7">
        <f>INDEX(Sheet2!$B$2:$B$65,$B49+1)</f>
        <v>530742520</v>
      </c>
      <c r="D49" s="7">
        <f>INDEX(Sheet2!$C$2:$C$65,$B49+1)</f>
        <v>16</v>
      </c>
      <c r="E49" s="7">
        <f>INDEX(Sheet2!$D$2:$D$65,$B49+1)</f>
        <v>15</v>
      </c>
      <c r="F49" s="7">
        <f>INDEX(Sheet3!$AY$2:$BN$11,$A49,$E49+1)</f>
        <v>0</v>
      </c>
      <c r="G49" s="7">
        <f>IF($B49&lt;16,_xlfn.BITOR(_xlfn.BITAND($K48,$L48),_xlfn.BITAND(4294967295-$K48,$M48)),IF($B49&lt;32,_xlfn.BITOR(_xlfn.BITAND($M48,$K48),_xlfn.BITAND(4294967295-$M48,$L48)),IF($B49&lt;48,_xlfn.BITXOR(_xlfn.BITXOR($K48,$L48),$M48),_xlfn.BITXOR($L48,_xlfn.BITOR($K48,4294967295-$M48)))))</f>
        <v>3361682374</v>
      </c>
      <c r="H49" s="7">
        <f>MOD($G49+$J48+$C49+$F49,4294967296)</f>
        <v>2539784912</v>
      </c>
      <c r="I49" s="7">
        <f>MOD($H49,2^(32-$D49))*2^$D49+INT($H49/2^(32-$D49))</f>
        <v>181442402</v>
      </c>
      <c r="J49" s="7">
        <f>$M48</f>
        <v>3903110206</v>
      </c>
      <c r="K49" s="7">
        <f>MOD($K48+$I49,4294967296)</f>
        <v>836463146</v>
      </c>
      <c r="L49" s="7">
        <f>$K48</f>
        <v>655020744</v>
      </c>
      <c r="M49" s="7">
        <f>$L48</f>
        <v>133258544</v>
      </c>
    </row>
    <row r="50" spans="1:13">
      <c r="A50" s="7">
        <v>1</v>
      </c>
      <c r="B50" s="7">
        <v>47</v>
      </c>
      <c r="C50" s="7">
        <f>INDEX(Sheet2!$B$2:$B$65,$B50+1)</f>
        <v>3299628645</v>
      </c>
      <c r="D50" s="7">
        <f>INDEX(Sheet2!$C$2:$C$65,$B50+1)</f>
        <v>23</v>
      </c>
      <c r="E50" s="7">
        <f>INDEX(Sheet2!$D$2:$D$65,$B50+1)</f>
        <v>2</v>
      </c>
      <c r="F50" s="7">
        <f>INDEX(Sheet3!$AY$2:$BN$11,$A50,$E50+1)</f>
        <v>1601792820</v>
      </c>
      <c r="G50" s="7">
        <f>IF($B50&lt;16,_xlfn.BITOR(_xlfn.BITAND($K49,$L49),_xlfn.BITAND(4294967295-$K49,$M49)),IF($B50&lt;32,_xlfn.BITOR(_xlfn.BITAND($M49,$K49),_xlfn.BITAND(4294967295-$M49,$L49)),IF($B50&lt;48,_xlfn.BITXOR(_xlfn.BITXOR($K49,$L49),$M49),_xlfn.BITXOR($L49,_xlfn.BITOR($K49,4294967295-$M49)))))</f>
        <v>287368658</v>
      </c>
      <c r="H50" s="7">
        <f>MOD($G50+$J49+$C50+$F50,4294967296)</f>
        <v>501965737</v>
      </c>
      <c r="I50" s="7">
        <f>MOD($H50,2^(32-$D50))*2^$D50+INT($H50/2^(32-$D50))</f>
        <v>3566138801</v>
      </c>
      <c r="J50" s="7">
        <f>$M49</f>
        <v>133258544</v>
      </c>
      <c r="K50" s="7">
        <f>MOD($K49+$I50,4294967296)</f>
        <v>107634651</v>
      </c>
      <c r="L50" s="7">
        <f>$K49</f>
        <v>836463146</v>
      </c>
      <c r="M50" s="7">
        <f>$L49</f>
        <v>655020744</v>
      </c>
    </row>
    <row r="51" spans="1:13">
      <c r="A51" s="7">
        <v>1</v>
      </c>
      <c r="B51" s="7">
        <v>48</v>
      </c>
      <c r="C51" s="7">
        <f>INDEX(Sheet2!$B$2:$B$65,$B51+1)</f>
        <v>4096336452</v>
      </c>
      <c r="D51" s="7">
        <f>INDEX(Sheet2!$C$2:$C$65,$B51+1)</f>
        <v>6</v>
      </c>
      <c r="E51" s="7">
        <f>INDEX(Sheet2!$D$2:$D$65,$B51+1)</f>
        <v>0</v>
      </c>
      <c r="F51" s="7">
        <f>INDEX(Sheet3!$AY$2:$BN$11,$A51,$E51+1)</f>
        <v>1701654643</v>
      </c>
      <c r="G51" s="7">
        <f>IF($B51&lt;16,_xlfn.BITOR(_xlfn.BITAND($K50,$L50),_xlfn.BITAND(4294967295-$K50,$M50)),IF($B51&lt;32,_xlfn.BITOR(_xlfn.BITAND($M50,$K50),_xlfn.BITAND(4294967295-$M50,$L50)),IF($B51&lt;48,_xlfn.BITXOR(_xlfn.BITXOR($K50,$L50),$M50),_xlfn.BITXOR($L50,_xlfn.BITOR($K50,4294967295-$M50)))))</f>
        <v>4012119509</v>
      </c>
      <c r="H51" s="7">
        <f>MOD($G51+$J50+$C51+$F51,4294967296)</f>
        <v>1353434556</v>
      </c>
      <c r="I51" s="7">
        <f>MOD($H51,2^(32-$D51))*2^$D51+INT($H51/2^(32-$D51))</f>
        <v>720465684</v>
      </c>
      <c r="J51" s="7">
        <f>$M50</f>
        <v>655020744</v>
      </c>
      <c r="K51" s="7">
        <f>MOD($K50+$I51,4294967296)</f>
        <v>828100335</v>
      </c>
      <c r="L51" s="7">
        <f>$K50</f>
        <v>107634651</v>
      </c>
      <c r="M51" s="7">
        <f>$L50</f>
        <v>836463146</v>
      </c>
    </row>
    <row r="52" spans="1:13">
      <c r="A52" s="7">
        <v>1</v>
      </c>
      <c r="B52" s="7">
        <v>49</v>
      </c>
      <c r="C52" s="7">
        <f>INDEX(Sheet2!$B$2:$B$65,$B52+1)</f>
        <v>1126891415</v>
      </c>
      <c r="D52" s="7">
        <f>INDEX(Sheet2!$C$2:$C$65,$B52+1)</f>
        <v>10</v>
      </c>
      <c r="E52" s="7">
        <f>INDEX(Sheet2!$D$2:$D$65,$B52+1)</f>
        <v>7</v>
      </c>
      <c r="F52" s="7">
        <f>INDEX(Sheet3!$AY$2:$BN$11,$A52,$E52+1)</f>
        <v>0</v>
      </c>
      <c r="G52" s="7">
        <f>IF($B52&lt;16,_xlfn.BITOR(_xlfn.BITAND($K51,$L51),_xlfn.BITAND(4294967295-$K51,$M51)),IF($B52&lt;32,_xlfn.BITOR(_xlfn.BITAND($M51,$K51),_xlfn.BITAND(4294967295-$M51,$L51)),IF($B52&lt;48,_xlfn.BITXOR(_xlfn.BITXOR($K51,$L51),$M51),_xlfn.BITXOR($L51,_xlfn.BITOR($K51,4294967295-$M51)))))</f>
        <v>4178935844</v>
      </c>
      <c r="H52" s="7">
        <f>MOD($G52+$J51+$C52+$F52,4294967296)</f>
        <v>1665880707</v>
      </c>
      <c r="I52" s="7">
        <f>MOD($H52,2^(32-$D52))*2^$D52+INT($H52/2^(32-$D52))</f>
        <v>759827853</v>
      </c>
      <c r="J52" s="7">
        <f>$M51</f>
        <v>836463146</v>
      </c>
      <c r="K52" s="7">
        <f>MOD($K51+$I52,4294967296)</f>
        <v>1587928188</v>
      </c>
      <c r="L52" s="7">
        <f>$K51</f>
        <v>828100335</v>
      </c>
      <c r="M52" s="7">
        <f>$L51</f>
        <v>107634651</v>
      </c>
    </row>
    <row r="53" spans="1:13">
      <c r="A53" s="7">
        <v>1</v>
      </c>
      <c r="B53" s="7">
        <v>50</v>
      </c>
      <c r="C53" s="7">
        <f>INDEX(Sheet2!$B$2:$B$65,$B53+1)</f>
        <v>2878612391</v>
      </c>
      <c r="D53" s="7">
        <f>INDEX(Sheet2!$C$2:$C$65,$B53+1)</f>
        <v>15</v>
      </c>
      <c r="E53" s="7">
        <f>INDEX(Sheet2!$D$2:$D$65,$B53+1)</f>
        <v>14</v>
      </c>
      <c r="F53" s="7">
        <f>INDEX(Sheet3!$AY$2:$BN$11,$A53,$E53+1)</f>
        <v>152</v>
      </c>
      <c r="G53" s="7">
        <f>IF($B53&lt;16,_xlfn.BITOR(_xlfn.BITAND($K52,$L52),_xlfn.BITAND(4294967295-$K52,$M52)),IF($B53&lt;32,_xlfn.BITOR(_xlfn.BITAND($M52,$K52),_xlfn.BITAND(4294967295-$M52,$L52)),IF($B53&lt;48,_xlfn.BITXOR(_xlfn.BITXOR($K52,$L52),$M52),_xlfn.BITXOR($L52,_xlfn.BITOR($K52,4294967295-$M52)))))</f>
        <v>3471717011</v>
      </c>
      <c r="H53" s="7">
        <f>MOD($G53+$J52+$C53+$F53,4294967296)</f>
        <v>2891825404</v>
      </c>
      <c r="I53" s="7">
        <f>MOD($H53,2^(32-$D53))*2^$D53+INT($H53/2^(32-$D53))</f>
        <v>3766375982</v>
      </c>
      <c r="J53" s="7">
        <f>$M52</f>
        <v>107634651</v>
      </c>
      <c r="K53" s="7">
        <f>MOD($K52+$I53,4294967296)</f>
        <v>1059336874</v>
      </c>
      <c r="L53" s="7">
        <f>$K52</f>
        <v>1587928188</v>
      </c>
      <c r="M53" s="7">
        <f>$L52</f>
        <v>828100335</v>
      </c>
    </row>
    <row r="54" spans="1:13">
      <c r="A54" s="7">
        <v>1</v>
      </c>
      <c r="B54" s="7">
        <v>51</v>
      </c>
      <c r="C54" s="7">
        <f>INDEX(Sheet2!$B$2:$B$65,$B54+1)</f>
        <v>4237533241</v>
      </c>
      <c r="D54" s="7">
        <f>INDEX(Sheet2!$C$2:$C$65,$B54+1)</f>
        <v>21</v>
      </c>
      <c r="E54" s="7">
        <f>INDEX(Sheet2!$D$2:$D$65,$B54+1)</f>
        <v>5</v>
      </c>
      <c r="F54" s="7">
        <f>INDEX(Sheet3!$AY$2:$BN$11,$A54,$E54+1)</f>
        <v>0</v>
      </c>
      <c r="G54" s="7">
        <f>IF($B54&lt;16,_xlfn.BITOR(_xlfn.BITAND($K53,$L53),_xlfn.BITAND(4294967295-$K53,$M53)),IF($B54&lt;32,_xlfn.BITOR(_xlfn.BITAND($M53,$K53),_xlfn.BITAND(4294967295-$M53,$L53)),IF($B54&lt;48,_xlfn.BITXOR(_xlfn.BITXOR($K53,$L53),$M53),_xlfn.BITXOR($L53,_xlfn.BITOR($K53,4294967295-$M53)))))</f>
        <v>2701258694</v>
      </c>
      <c r="H54" s="7">
        <f>MOD($G54+$J53+$C54+$F54,4294967296)</f>
        <v>2751459290</v>
      </c>
      <c r="I54" s="7">
        <f>MOD($H54,2^(32-$D54))*2^$D54+INT($H54/2^(32-$D54))</f>
        <v>4216619005</v>
      </c>
      <c r="J54" s="7">
        <f>$M53</f>
        <v>828100335</v>
      </c>
      <c r="K54" s="7">
        <f>MOD($K53+$I54,4294967296)</f>
        <v>980988583</v>
      </c>
      <c r="L54" s="7">
        <f>$K53</f>
        <v>1059336874</v>
      </c>
      <c r="M54" s="7">
        <f>$L53</f>
        <v>1587928188</v>
      </c>
    </row>
    <row r="55" spans="1:13">
      <c r="A55" s="7">
        <v>1</v>
      </c>
      <c r="B55" s="7">
        <v>52</v>
      </c>
      <c r="C55" s="7">
        <f>INDEX(Sheet2!$B$2:$B$65,$B55+1)</f>
        <v>1700485571</v>
      </c>
      <c r="D55" s="7">
        <f>INDEX(Sheet2!$C$2:$C$65,$B55+1)</f>
        <v>6</v>
      </c>
      <c r="E55" s="7">
        <f>INDEX(Sheet2!$D$2:$D$65,$B55+1)</f>
        <v>12</v>
      </c>
      <c r="F55" s="7">
        <f>INDEX(Sheet3!$AY$2:$BN$11,$A55,$E55+1)</f>
        <v>0</v>
      </c>
      <c r="G55" s="7">
        <f>IF($B55&lt;16,_xlfn.BITOR(_xlfn.BITAND($K54,$L54),_xlfn.BITAND(4294967295-$K54,$M54)),IF($B55&lt;32,_xlfn.BITOR(_xlfn.BITAND($M54,$K54),_xlfn.BITAND(4294967295-$M54,$L54)),IF($B55&lt;48,_xlfn.BITXOR(_xlfn.BITXOR($K54,$L54),$M54),_xlfn.BITXOR($L54,_xlfn.BITOR($K54,4294967295-$M54)))))</f>
        <v>2220785933</v>
      </c>
      <c r="H55" s="7">
        <f>MOD($G55+$J54+$C55+$F55,4294967296)</f>
        <v>454404543</v>
      </c>
      <c r="I55" s="7">
        <f>MOD($H55,2^(32-$D55))*2^$D55+INT($H55/2^(32-$D55))</f>
        <v>3312086982</v>
      </c>
      <c r="J55" s="7">
        <f>$M54</f>
        <v>1587928188</v>
      </c>
      <c r="K55" s="7">
        <f>MOD($K54+$I55,4294967296)</f>
        <v>4293075565</v>
      </c>
      <c r="L55" s="7">
        <f>$K54</f>
        <v>980988583</v>
      </c>
      <c r="M55" s="7">
        <f>$L54</f>
        <v>1059336874</v>
      </c>
    </row>
    <row r="56" spans="1:13">
      <c r="A56" s="7">
        <v>1</v>
      </c>
      <c r="B56" s="7">
        <v>53</v>
      </c>
      <c r="C56" s="7">
        <f>INDEX(Sheet2!$B$2:$B$65,$B56+1)</f>
        <v>2399980690</v>
      </c>
      <c r="D56" s="7">
        <f>INDEX(Sheet2!$C$2:$C$65,$B56+1)</f>
        <v>10</v>
      </c>
      <c r="E56" s="7">
        <f>INDEX(Sheet2!$D$2:$D$65,$B56+1)</f>
        <v>3</v>
      </c>
      <c r="F56" s="7">
        <f>INDEX(Sheet3!$AY$2:$BN$11,$A56,$E56+1)</f>
        <v>1953248371</v>
      </c>
      <c r="G56" s="7">
        <f>IF($B56&lt;16,_xlfn.BITOR(_xlfn.BITAND($K55,$L55),_xlfn.BITAND(4294967295-$K55,$M55)),IF($B56&lt;32,_xlfn.BITOR(_xlfn.BITAND($M55,$K55),_xlfn.BITAND(4294967295-$M55,$L55)),IF($B56&lt;48,_xlfn.BITXOR(_xlfn.BITXOR($K55,$L55),$M55),_xlfn.BITXOR($L55,_xlfn.BITOR($K55,4294967295-$M55)))))</f>
        <v>3313720794</v>
      </c>
      <c r="H56" s="7">
        <f>MOD($G56+$J55+$C56+$F56,4294967296)</f>
        <v>664943451</v>
      </c>
      <c r="I56" s="7">
        <f>MOD($H56,2^(32-$D56))*2^$D56+INT($H56/2^(32-$D56))</f>
        <v>2297261214</v>
      </c>
      <c r="J56" s="7">
        <f>$M55</f>
        <v>1059336874</v>
      </c>
      <c r="K56" s="7">
        <f>MOD($K55+$I56,4294967296)</f>
        <v>2295369483</v>
      </c>
      <c r="L56" s="7">
        <f>$K55</f>
        <v>4293075565</v>
      </c>
      <c r="M56" s="7">
        <f>$L55</f>
        <v>980988583</v>
      </c>
    </row>
    <row r="57" spans="1:13">
      <c r="A57" s="7">
        <v>1</v>
      </c>
      <c r="B57" s="7">
        <v>54</v>
      </c>
      <c r="C57" s="7">
        <f>INDEX(Sheet2!$B$2:$B$65,$B57+1)</f>
        <v>4293915773</v>
      </c>
      <c r="D57" s="7">
        <f>INDEX(Sheet2!$C$2:$C$65,$B57+1)</f>
        <v>15</v>
      </c>
      <c r="E57" s="7">
        <f>INDEX(Sheet2!$D$2:$D$65,$B57+1)</f>
        <v>10</v>
      </c>
      <c r="F57" s="7">
        <f>INDEX(Sheet3!$AY$2:$BN$11,$A57,$E57+1)</f>
        <v>0</v>
      </c>
      <c r="G57" s="7">
        <f>IF($B57&lt;16,_xlfn.BITOR(_xlfn.BITAND($K56,$L56),_xlfn.BITAND(4294967295-$K56,$M56)),IF($B57&lt;32,_xlfn.BITOR(_xlfn.BITAND($M56,$K56),_xlfn.BITAND(4294967295-$M56,$L56)),IF($B57&lt;48,_xlfn.BITXOR(_xlfn.BITXOR($K56,$L56),$M56),_xlfn.BITXOR($L56,_xlfn.BITOR($K56,4294967295-$M56)))))</f>
        <v>842329398</v>
      </c>
      <c r="H57" s="7">
        <f>MOD($G57+$J56+$C57+$F57,4294967296)</f>
        <v>1900614749</v>
      </c>
      <c r="I57" s="7">
        <f>MOD($H57,2^(32-$D57))*2^$D57+INT($H57/2^(32-$D57))</f>
        <v>2318317732</v>
      </c>
      <c r="J57" s="7">
        <f>$M56</f>
        <v>980988583</v>
      </c>
      <c r="K57" s="7">
        <f>MOD($K56+$I57,4294967296)</f>
        <v>318719919</v>
      </c>
      <c r="L57" s="7">
        <f>$K56</f>
        <v>2295369483</v>
      </c>
      <c r="M57" s="7">
        <f>$L56</f>
        <v>4293075565</v>
      </c>
    </row>
    <row r="58" spans="1:13">
      <c r="A58" s="7">
        <v>1</v>
      </c>
      <c r="B58" s="7">
        <v>55</v>
      </c>
      <c r="C58" s="7">
        <f>INDEX(Sheet2!$B$2:$B$65,$B58+1)</f>
        <v>2240044497</v>
      </c>
      <c r="D58" s="7">
        <f>INDEX(Sheet2!$C$2:$C$65,$B58+1)</f>
        <v>21</v>
      </c>
      <c r="E58" s="7">
        <f>INDEX(Sheet2!$D$2:$D$65,$B58+1)</f>
        <v>1</v>
      </c>
      <c r="F58" s="7">
        <f>INDEX(Sheet3!$AY$2:$BN$11,$A58,$E58+1)</f>
        <v>862876511</v>
      </c>
      <c r="G58" s="7">
        <f>IF($B58&lt;16,_xlfn.BITOR(_xlfn.BITAND($K57,$L57),_xlfn.BITAND(4294967295-$K57,$M57)),IF($B58&lt;32,_xlfn.BITOR(_xlfn.BITAND($M57,$K57),_xlfn.BITAND(4294967295-$M57,$L57)),IF($B58&lt;48,_xlfn.BITXOR(_xlfn.BITXOR($K57,$L57),$M57),_xlfn.BITXOR($L57,_xlfn.BITOR($K57,4294967295-$M57)))))</f>
        <v>2586792116</v>
      </c>
      <c r="H58" s="7">
        <f>MOD($G58+$J57+$C58+$F58,4294967296)</f>
        <v>2375734411</v>
      </c>
      <c r="I58" s="7">
        <f>MOD($H58,2^(32-$D58))*2^$D58+INT($H58/2^(32-$D58))</f>
        <v>2440147802</v>
      </c>
      <c r="J58" s="7">
        <f>$M57</f>
        <v>4293075565</v>
      </c>
      <c r="K58" s="7">
        <f>MOD($K57+$I58,4294967296)</f>
        <v>2758867721</v>
      </c>
      <c r="L58" s="7">
        <f>$K57</f>
        <v>318719919</v>
      </c>
      <c r="M58" s="7">
        <f>$L57</f>
        <v>2295369483</v>
      </c>
    </row>
    <row r="59" spans="1:13">
      <c r="A59" s="7">
        <v>1</v>
      </c>
      <c r="B59" s="7">
        <v>56</v>
      </c>
      <c r="C59" s="7">
        <f>INDEX(Sheet2!$B$2:$B$65,$B59+1)</f>
        <v>1873313359</v>
      </c>
      <c r="D59" s="7">
        <f>INDEX(Sheet2!$C$2:$C$65,$B59+1)</f>
        <v>6</v>
      </c>
      <c r="E59" s="7">
        <f>INDEX(Sheet2!$D$2:$D$65,$B59+1)</f>
        <v>8</v>
      </c>
      <c r="F59" s="7">
        <f>INDEX(Sheet3!$AY$2:$BN$11,$A59,$E59+1)</f>
        <v>0</v>
      </c>
      <c r="G59" s="7">
        <f>IF($B59&lt;16,_xlfn.BITOR(_xlfn.BITAND($K58,$L58),_xlfn.BITAND(4294967295-$K58,$M58)),IF($B59&lt;32,_xlfn.BITOR(_xlfn.BITAND($M58,$K58),_xlfn.BITAND(4294967295-$M58,$L58)),IF($B59&lt;48,_xlfn.BITXOR(_xlfn.BITXOR($K58,$L58),$M58),_xlfn.BITXOR($L58,_xlfn.BITOR($K58,4294967295-$M58)))))</f>
        <v>3850419282</v>
      </c>
      <c r="H59" s="7">
        <f>MOD($G59+$J58+$C59+$F59,4294967296)</f>
        <v>1426873614</v>
      </c>
      <c r="I59" s="7">
        <f>MOD($H59,2^(32-$D59))*2^$D59+INT($H59/2^(32-$D59))</f>
        <v>1125598101</v>
      </c>
      <c r="J59" s="7">
        <f>$M58</f>
        <v>2295369483</v>
      </c>
      <c r="K59" s="7">
        <f>MOD($K58+$I59,4294967296)</f>
        <v>3884465822</v>
      </c>
      <c r="L59" s="7">
        <f>$K58</f>
        <v>2758867721</v>
      </c>
      <c r="M59" s="7">
        <f>$L58</f>
        <v>318719919</v>
      </c>
    </row>
    <row r="60" spans="1:13">
      <c r="A60" s="7">
        <v>1</v>
      </c>
      <c r="B60" s="7">
        <v>57</v>
      </c>
      <c r="C60" s="7">
        <f>INDEX(Sheet2!$B$2:$B$65,$B60+1)</f>
        <v>4264355552</v>
      </c>
      <c r="D60" s="7">
        <f>INDEX(Sheet2!$C$2:$C$65,$B60+1)</f>
        <v>10</v>
      </c>
      <c r="E60" s="7">
        <f>INDEX(Sheet2!$D$2:$D$65,$B60+1)</f>
        <v>15</v>
      </c>
      <c r="F60" s="7">
        <f>INDEX(Sheet3!$AY$2:$BN$11,$A60,$E60+1)</f>
        <v>0</v>
      </c>
      <c r="G60" s="7">
        <f>IF($B60&lt;16,_xlfn.BITOR(_xlfn.BITAND($K59,$L59),_xlfn.BITAND(4294967295-$K59,$M59)),IF($B60&lt;32,_xlfn.BITOR(_xlfn.BITAND($M59,$K59),_xlfn.BITAND(4294967295-$M59,$L59)),IF($B60&lt;48,_xlfn.BITXOR(_xlfn.BITXOR($K59,$L59),$M59),_xlfn.BITXOR($L59,_xlfn.BITOR($K59,4294967295-$M59)))))</f>
        <v>1274562007</v>
      </c>
      <c r="H60" s="7">
        <f>MOD($G60+$J59+$C60+$F60,4294967296)</f>
        <v>3539319746</v>
      </c>
      <c r="I60" s="7">
        <f>MOD($H60,2^(32-$D60))*2^$D60+INT($H60/2^(32-$D60))</f>
        <v>3605990219</v>
      </c>
      <c r="J60" s="7">
        <f>$M59</f>
        <v>318719919</v>
      </c>
      <c r="K60" s="7">
        <f>MOD($K59+$I60,4294967296)</f>
        <v>3195488745</v>
      </c>
      <c r="L60" s="7">
        <f>$K59</f>
        <v>3884465822</v>
      </c>
      <c r="M60" s="7">
        <f>$L59</f>
        <v>2758867721</v>
      </c>
    </row>
    <row r="61" spans="1:13">
      <c r="A61" s="7">
        <v>1</v>
      </c>
      <c r="B61" s="7">
        <v>58</v>
      </c>
      <c r="C61" s="7">
        <f>INDEX(Sheet2!$B$2:$B$65,$B61+1)</f>
        <v>2734768916</v>
      </c>
      <c r="D61" s="7">
        <f>INDEX(Sheet2!$C$2:$C$65,$B61+1)</f>
        <v>15</v>
      </c>
      <c r="E61" s="7">
        <f>INDEX(Sheet2!$D$2:$D$65,$B61+1)</f>
        <v>6</v>
      </c>
      <c r="F61" s="7">
        <f>INDEX(Sheet3!$AY$2:$BN$11,$A61,$E61+1)</f>
        <v>0</v>
      </c>
      <c r="G61" s="7">
        <f>IF($B61&lt;16,_xlfn.BITOR(_xlfn.BITAND($K60,$L60),_xlfn.BITAND(4294967295-$K60,$M60)),IF($B61&lt;32,_xlfn.BITOR(_xlfn.BITAND($M60,$K60),_xlfn.BITAND(4294967295-$M60,$L60)),IF($B61&lt;48,_xlfn.BITXOR(_xlfn.BITXOR($K60,$L60),$M60),_xlfn.BITXOR($L60,_xlfn.BITOR($K60,4294967295-$M60)))))</f>
        <v>410481505</v>
      </c>
      <c r="H61" s="7">
        <f>MOD($G61+$J60+$C61+$F61,4294967296)</f>
        <v>3463970340</v>
      </c>
      <c r="I61" s="7">
        <f>MOD($H61,2^(32-$D61))*2^$D61+INT($H61/2^(32-$D61))</f>
        <v>4279396155</v>
      </c>
      <c r="J61" s="7">
        <f>$M60</f>
        <v>2758867721</v>
      </c>
      <c r="K61" s="7">
        <f>MOD($K60+$I61,4294967296)</f>
        <v>3179917604</v>
      </c>
      <c r="L61" s="7">
        <f>$K60</f>
        <v>3195488745</v>
      </c>
      <c r="M61" s="7">
        <f>$L60</f>
        <v>3884465822</v>
      </c>
    </row>
    <row r="62" spans="1:13">
      <c r="A62" s="7">
        <v>1</v>
      </c>
      <c r="B62" s="7">
        <v>59</v>
      </c>
      <c r="C62" s="7">
        <f>INDEX(Sheet2!$B$2:$B$65,$B62+1)</f>
        <v>1309151649</v>
      </c>
      <c r="D62" s="7">
        <f>INDEX(Sheet2!$C$2:$C$65,$B62+1)</f>
        <v>21</v>
      </c>
      <c r="E62" s="7">
        <f>INDEX(Sheet2!$D$2:$D$65,$B62+1)</f>
        <v>13</v>
      </c>
      <c r="F62" s="7">
        <f>INDEX(Sheet3!$AY$2:$BN$11,$A62,$E62+1)</f>
        <v>0</v>
      </c>
      <c r="G62" s="7">
        <f>IF($B62&lt;16,_xlfn.BITOR(_xlfn.BITAND($K61,$L61),_xlfn.BITAND(4294967295-$K61,$M61)),IF($B62&lt;32,_xlfn.BITOR(_xlfn.BITAND($M61,$K61),_xlfn.BITAND(4294967295-$M61,$L61)),IF($B62&lt;48,_xlfn.BITXOR(_xlfn.BITXOR($K61,$L61),$M61),_xlfn.BITXOR($L61,_xlfn.BITOR($K61,4294967295-$M61)))))</f>
        <v>59291788</v>
      </c>
      <c r="H62" s="7">
        <f>MOD($G62+$J61+$C62+$F62,4294967296)</f>
        <v>4127311158</v>
      </c>
      <c r="I62" s="7">
        <f>MOD($H62,2^(32-$D62))*2^$D62+INT($H62/2^(32-$D62))</f>
        <v>2799616056</v>
      </c>
      <c r="J62" s="7">
        <f>$M61</f>
        <v>3884465822</v>
      </c>
      <c r="K62" s="7">
        <f>MOD($K61+$I62,4294967296)</f>
        <v>1684566364</v>
      </c>
      <c r="L62" s="7">
        <f>$K61</f>
        <v>3179917604</v>
      </c>
      <c r="M62" s="7">
        <f>$L61</f>
        <v>3195488745</v>
      </c>
    </row>
    <row r="63" spans="1:13">
      <c r="A63" s="7">
        <v>1</v>
      </c>
      <c r="B63" s="7">
        <v>60</v>
      </c>
      <c r="C63" s="7">
        <f>INDEX(Sheet2!$B$2:$B$65,$B63+1)</f>
        <v>4149444226</v>
      </c>
      <c r="D63" s="7">
        <f>INDEX(Sheet2!$C$2:$C$65,$B63+1)</f>
        <v>6</v>
      </c>
      <c r="E63" s="7">
        <f>INDEX(Sheet2!$D$2:$D$65,$B63+1)</f>
        <v>4</v>
      </c>
      <c r="F63" s="7">
        <f>INDEX(Sheet3!$AY$2:$BN$11,$A63,$E63+1)</f>
        <v>2151628607</v>
      </c>
      <c r="G63" s="7">
        <f>IF($B63&lt;16,_xlfn.BITOR(_xlfn.BITAND($K62,$L62),_xlfn.BITAND(4294967295-$K62,$M62)),IF($B63&lt;32,_xlfn.BITOR(_xlfn.BITAND($M62,$K62),_xlfn.BITAND(4294967295-$M62,$L62)),IF($B63&lt;48,_xlfn.BITXOR(_xlfn.BITXOR($K62,$L62),$M62),_xlfn.BITXOR($L62,_xlfn.BITOR($K62,4294967295-$M62)))))</f>
        <v>3630253690</v>
      </c>
      <c r="H63" s="7">
        <f>MOD($G63+$J62+$C63+$F63,4294967296)</f>
        <v>930890457</v>
      </c>
      <c r="I63" s="7">
        <f>MOD($H63,2^(32-$D63))*2^$D63+INT($H63/2^(32-$D63))</f>
        <v>3742414413</v>
      </c>
      <c r="J63" s="7">
        <f>$M62</f>
        <v>3195488745</v>
      </c>
      <c r="K63" s="7">
        <f>MOD($K62+$I63,4294967296)</f>
        <v>1132013481</v>
      </c>
      <c r="L63" s="7">
        <f>$K62</f>
        <v>1684566364</v>
      </c>
      <c r="M63" s="7">
        <f>$L62</f>
        <v>3179917604</v>
      </c>
    </row>
    <row r="64" spans="1:13">
      <c r="A64" s="7">
        <v>1</v>
      </c>
      <c r="B64" s="7">
        <v>61</v>
      </c>
      <c r="C64" s="7">
        <f>INDEX(Sheet2!$B$2:$B$65,$B64+1)</f>
        <v>3174756917</v>
      </c>
      <c r="D64" s="7">
        <f>INDEX(Sheet2!$C$2:$C$65,$B64+1)</f>
        <v>10</v>
      </c>
      <c r="E64" s="7">
        <f>INDEX(Sheet2!$D$2:$D$65,$B64+1)</f>
        <v>11</v>
      </c>
      <c r="F64" s="7">
        <f>INDEX(Sheet3!$AY$2:$BN$11,$A64,$E64+1)</f>
        <v>0</v>
      </c>
      <c r="G64" s="7">
        <f>IF($B64&lt;16,_xlfn.BITOR(_xlfn.BITAND($K63,$L63),_xlfn.BITAND(4294967295-$K63,$M63)),IF($B64&lt;32,_xlfn.BITOR(_xlfn.BITAND($M63,$K63),_xlfn.BITAND(4294967295-$M63,$L63)),IF($B64&lt;48,_xlfn.BITXOR(_xlfn.BITXOR($K63,$L63),$M63),_xlfn.BITXOR($L63,_xlfn.BITOR($K63,4294967295-$M63)))))</f>
        <v>655826599</v>
      </c>
      <c r="H64" s="7">
        <f>MOD($G64+$J63+$C64+$F64,4294967296)</f>
        <v>2731104965</v>
      </c>
      <c r="I64" s="7">
        <f>MOD($H64,2^(32-$D64))*2^$D64+INT($H64/2^(32-$D64))</f>
        <v>627775115</v>
      </c>
      <c r="J64" s="7">
        <f>$M63</f>
        <v>3179917604</v>
      </c>
      <c r="K64" s="7">
        <f>MOD($K63+$I64,4294967296)</f>
        <v>1759788596</v>
      </c>
      <c r="L64" s="7">
        <f>$K63</f>
        <v>1132013481</v>
      </c>
      <c r="M64" s="7">
        <f>$L63</f>
        <v>1684566364</v>
      </c>
    </row>
    <row r="65" spans="1:13">
      <c r="A65" s="7">
        <v>1</v>
      </c>
      <c r="B65" s="7">
        <v>62</v>
      </c>
      <c r="C65" s="7">
        <f>INDEX(Sheet2!$B$2:$B$65,$B65+1)</f>
        <v>718787259</v>
      </c>
      <c r="D65" s="7">
        <f>INDEX(Sheet2!$C$2:$C$65,$B65+1)</f>
        <v>15</v>
      </c>
      <c r="E65" s="7">
        <f>INDEX(Sheet2!$D$2:$D$65,$B65+1)</f>
        <v>2</v>
      </c>
      <c r="F65" s="7">
        <f>INDEX(Sheet3!$AY$2:$BN$11,$A65,$E65+1)</f>
        <v>1601792820</v>
      </c>
      <c r="G65" s="7">
        <f>IF($B65&lt;16,_xlfn.BITOR(_xlfn.BITAND($K64,$L64),_xlfn.BITAND(4294967295-$K64,$M64)),IF($B65&lt;32,_xlfn.BITOR(_xlfn.BITAND($M64,$K64),_xlfn.BITAND(4294967295-$M64,$L64)),IF($B65&lt;48,_xlfn.BITXOR(_xlfn.BITXOR($K64,$L64),$M64),_xlfn.BITXOR($L64,_xlfn.BITOR($K64,4294967295-$M64)))))</f>
        <v>3096353054</v>
      </c>
      <c r="H65" s="7">
        <f>MOD($G65+$J64+$C65+$F65,4294967296)</f>
        <v>6916145</v>
      </c>
      <c r="I65" s="7">
        <f>MOD($H65,2^(32-$D65))*2^$D65+INT($H65/2^(32-$D65))</f>
        <v>3289940020</v>
      </c>
      <c r="J65" s="7">
        <f>$M64</f>
        <v>1684566364</v>
      </c>
      <c r="K65" s="7">
        <f>MOD($K64+$I65,4294967296)</f>
        <v>754761320</v>
      </c>
      <c r="L65" s="7">
        <f>$K64</f>
        <v>1759788596</v>
      </c>
      <c r="M65" s="7">
        <f>$L64</f>
        <v>1132013481</v>
      </c>
    </row>
    <row r="66" spans="1:13">
      <c r="A66" s="7">
        <v>1</v>
      </c>
      <c r="B66" s="7">
        <v>63</v>
      </c>
      <c r="C66" s="7">
        <f>INDEX(Sheet2!$B$2:$B$65,$B66+1)</f>
        <v>3951481745</v>
      </c>
      <c r="D66" s="7">
        <f>INDEX(Sheet2!$C$2:$C$65,$B66+1)</f>
        <v>21</v>
      </c>
      <c r="E66" s="7">
        <f>INDEX(Sheet2!$D$2:$D$65,$B66+1)</f>
        <v>9</v>
      </c>
      <c r="F66" s="7">
        <f>INDEX(Sheet3!$AY$2:$BN$11,$A66,$E66+1)</f>
        <v>0</v>
      </c>
      <c r="G66" s="7">
        <f>IF($B66&lt;16,_xlfn.BITOR(_xlfn.BITAND($K65,$L65),_xlfn.BITAND(4294967295-$K65,$M65)),IF($B66&lt;32,_xlfn.BITOR(_xlfn.BITAND($M65,$K65),_xlfn.BITAND(4294967295-$M65,$L65)),IF($B66&lt;48,_xlfn.BITXOR(_xlfn.BITXOR($K65,$L65),$M65),_xlfn.BITXOR($L65,_xlfn.BITOR($K65,4294967295-$M65)))))</f>
        <v>3558522954</v>
      </c>
      <c r="H66" s="7">
        <f>MOD($G66+$J65+$C66+$F66,4294967296)</f>
        <v>604636471</v>
      </c>
      <c r="I66" s="7">
        <f>MOD($H66,2^(32-$D66))*2^$D66+INT($H66/2^(32-$D66))</f>
        <v>2799993152</v>
      </c>
      <c r="J66" s="7">
        <f>$M65</f>
        <v>1132013481</v>
      </c>
      <c r="K66" s="7">
        <f>MOD($K65+$I66,4294967296)</f>
        <v>3554754472</v>
      </c>
      <c r="L66" s="7">
        <f>$K65</f>
        <v>754761320</v>
      </c>
      <c r="M66" s="7">
        <f>$L65</f>
        <v>1759788596</v>
      </c>
    </row>
    <row r="67" spans="1:13">
      <c r="A67" s="8">
        <v>2</v>
      </c>
      <c r="B67" s="8">
        <v>-1</v>
      </c>
      <c r="J67" s="8">
        <v>1732584193</v>
      </c>
      <c r="K67" s="8">
        <v>4023233417</v>
      </c>
      <c r="L67" s="8">
        <v>2562383102</v>
      </c>
      <c r="M67" s="8">
        <v>271733878</v>
      </c>
    </row>
    <row r="68" spans="1:13">
      <c r="A68" s="7">
        <v>2</v>
      </c>
      <c r="B68" s="7">
        <v>0</v>
      </c>
      <c r="C68" s="7">
        <f>INDEX(Sheet2!$B$2:$B$65,$B68+1)</f>
        <v>3614090360</v>
      </c>
      <c r="D68" s="7">
        <f>INDEX(Sheet2!$C$2:$C$65,$B68+1)</f>
        <v>7</v>
      </c>
      <c r="E68" s="7">
        <f>INDEX(Sheet2!$D$2:$D$65,$B68+1)</f>
        <v>0</v>
      </c>
      <c r="F68" s="7">
        <f>INDEX(Sheet3!$AY$2:$BN$11,$A68,$E68+1)</f>
        <v>1701654643</v>
      </c>
      <c r="G68" s="7">
        <f>IF($B68&lt;16,_xlfn.BITOR(_xlfn.BITAND($K67,$L67),_xlfn.BITAND(4294967295-$K67,$M67)),IF($B68&lt;32,_xlfn.BITOR(_xlfn.BITAND($M67,$K67),_xlfn.BITAND(4294967295-$M67,$L67)),IF($B68&lt;48,_xlfn.BITXOR(_xlfn.BITXOR($K67,$L67),$M67),_xlfn.BITXOR($L67,_xlfn.BITOR($K67,4294967295-$M67)))))</f>
        <v>2562383102</v>
      </c>
      <c r="H68" s="7">
        <f>MOD($G68+$J67+$C68+$F68,4294967296)</f>
        <v>1020777706</v>
      </c>
      <c r="I68" s="7">
        <f>MOD($H68,2^(32-$D68))*2^$D68+INT($H68/2^(32-$D68))</f>
        <v>1810527518</v>
      </c>
      <c r="J68" s="7">
        <f>$M67</f>
        <v>271733878</v>
      </c>
      <c r="K68" s="7">
        <f>MOD($K67+$I68,4294967296)</f>
        <v>1538793639</v>
      </c>
      <c r="L68" s="7">
        <f>$K67</f>
        <v>4023233417</v>
      </c>
      <c r="M68" s="7">
        <f>$L67</f>
        <v>2562383102</v>
      </c>
    </row>
    <row r="69" spans="1:13">
      <c r="A69" s="7">
        <v>2</v>
      </c>
      <c r="B69" s="7">
        <v>1</v>
      </c>
      <c r="C69" s="7">
        <f>INDEX(Sheet2!$B$2:$B$65,$B69+1)</f>
        <v>3905402710</v>
      </c>
      <c r="D69" s="7">
        <f>INDEX(Sheet2!$C$2:$C$65,$B69+1)</f>
        <v>12</v>
      </c>
      <c r="E69" s="7">
        <f>INDEX(Sheet2!$D$2:$D$65,$B69+1)</f>
        <v>1</v>
      </c>
      <c r="F69" s="7">
        <f>INDEX(Sheet3!$AY$2:$BN$11,$A69,$E69+1)</f>
        <v>862876511</v>
      </c>
      <c r="G69" s="7">
        <f>IF($B69&lt;16,_xlfn.BITOR(_xlfn.BITAND($K68,$L68),_xlfn.BITAND(4294967295-$K68,$M68)),IF($B69&lt;32,_xlfn.BITOR(_xlfn.BITAND($M68,$K68),_xlfn.BITAND(4294967295-$M68,$L68)),IF($B69&lt;48,_xlfn.BITXOR(_xlfn.BITXOR($K68,$L68),$M68),_xlfn.BITXOR($L68,_xlfn.BITOR($K68,4294967295-$M68)))))</f>
        <v>3414883545</v>
      </c>
      <c r="H69" s="7">
        <f>MOD($G69+$J68+$C69+$F69,4294967296)</f>
        <v>4159929348</v>
      </c>
      <c r="I69" s="7">
        <f>MOD($H69,2^(32-$D69))*2^$D69+INT($H69/2^(32-$D69))</f>
        <v>935350143</v>
      </c>
      <c r="J69" s="7">
        <f>$M68</f>
        <v>2562383102</v>
      </c>
      <c r="K69" s="7">
        <f>MOD($K68+$I69,4294967296)</f>
        <v>2474143782</v>
      </c>
      <c r="L69" s="7">
        <f>$K68</f>
        <v>1538793639</v>
      </c>
      <c r="M69" s="7">
        <f>$L68</f>
        <v>4023233417</v>
      </c>
    </row>
    <row r="70" spans="1:13">
      <c r="A70" s="7">
        <v>2</v>
      </c>
      <c r="B70" s="7">
        <v>2</v>
      </c>
      <c r="C70" s="7">
        <f>INDEX(Sheet2!$B$2:$B$65,$B70+1)</f>
        <v>606105819</v>
      </c>
      <c r="D70" s="7">
        <f>INDEX(Sheet2!$C$2:$C$65,$B70+1)</f>
        <v>17</v>
      </c>
      <c r="E70" s="7">
        <f>INDEX(Sheet2!$D$2:$D$65,$B70+1)</f>
        <v>2</v>
      </c>
      <c r="F70" s="7">
        <f>INDEX(Sheet3!$AY$2:$BN$11,$A70,$E70+1)</f>
        <v>1601792820</v>
      </c>
      <c r="G70" s="7">
        <f>IF($B70&lt;16,_xlfn.BITOR(_xlfn.BITAND($K69,$L69),_xlfn.BITAND(4294967295-$K69,$M69)),IF($B70&lt;32,_xlfn.BITOR(_xlfn.BITAND($M69,$K69),_xlfn.BITAND(4294967295-$M69,$L69)),IF($B70&lt;48,_xlfn.BITXOR(_xlfn.BITXOR($K69,$L69),$M69),_xlfn.BITXOR($L69,_xlfn.BITOR($K69,4294967295-$M69)))))</f>
        <v>2143136687</v>
      </c>
      <c r="H70" s="7">
        <f>MOD($G70+$J69+$C70+$F70,4294967296)</f>
        <v>2618451132</v>
      </c>
      <c r="I70" s="7">
        <f>MOD($H70,2^(32-$D70))*2^$D70+INT($H70/2^(32-$D70))</f>
        <v>3380164644</v>
      </c>
      <c r="J70" s="7">
        <f>$M69</f>
        <v>4023233417</v>
      </c>
      <c r="K70" s="7">
        <f>MOD($K69+$I70,4294967296)</f>
        <v>1559341130</v>
      </c>
      <c r="L70" s="7">
        <f>$K69</f>
        <v>2474143782</v>
      </c>
      <c r="M70" s="7">
        <f>$L69</f>
        <v>1538793639</v>
      </c>
    </row>
    <row r="71" spans="1:13">
      <c r="A71" s="7">
        <v>2</v>
      </c>
      <c r="B71" s="7">
        <v>3</v>
      </c>
      <c r="C71" s="7">
        <f>INDEX(Sheet2!$B$2:$B$65,$B71+1)</f>
        <v>3250441966</v>
      </c>
      <c r="D71" s="7">
        <f>INDEX(Sheet2!$C$2:$C$65,$B71+1)</f>
        <v>22</v>
      </c>
      <c r="E71" s="7">
        <f>INDEX(Sheet2!$D$2:$D$65,$B71+1)</f>
        <v>3</v>
      </c>
      <c r="F71" s="7">
        <f>INDEX(Sheet3!$AY$2:$BN$11,$A71,$E71+1)</f>
        <v>1953248371</v>
      </c>
      <c r="G71" s="7">
        <f>IF($B71&lt;16,_xlfn.BITOR(_xlfn.BITAND($K70,$L70),_xlfn.BITAND(4294967295-$K70,$M70)),IF($B71&lt;32,_xlfn.BITOR(_xlfn.BITAND($M70,$K70),_xlfn.BITAND(4294967295-$M70,$L70)),IF($B71&lt;48,_xlfn.BITXOR(_xlfn.BITXOR($K70,$L70),$M70),_xlfn.BITXOR($L70,_xlfn.BITOR($K70,4294967295-$M70)))))</f>
        <v>326639783</v>
      </c>
      <c r="H71" s="7">
        <f>MOD($G71+$J70+$C71+$F71,4294967296)</f>
        <v>963628945</v>
      </c>
      <c r="I71" s="7">
        <f>MOD($H71,2^(32-$D71))*2^$D71+INT($H71/2^(32-$D71))</f>
        <v>3830340595</v>
      </c>
      <c r="J71" s="7">
        <f>$M70</f>
        <v>1538793639</v>
      </c>
      <c r="K71" s="7">
        <f>MOD($K70+$I71,4294967296)</f>
        <v>1094714429</v>
      </c>
      <c r="L71" s="7">
        <f>$K70</f>
        <v>1559341130</v>
      </c>
      <c r="M71" s="7">
        <f>$L70</f>
        <v>2474143782</v>
      </c>
    </row>
    <row r="72" spans="1:13">
      <c r="A72" s="7">
        <v>2</v>
      </c>
      <c r="B72" s="7">
        <v>4</v>
      </c>
      <c r="C72" s="7">
        <f>INDEX(Sheet2!$B$2:$B$65,$B72+1)</f>
        <v>4118548399</v>
      </c>
      <c r="D72" s="7">
        <f>INDEX(Sheet2!$C$2:$C$65,$B72+1)</f>
        <v>7</v>
      </c>
      <c r="E72" s="7">
        <f>INDEX(Sheet2!$D$2:$D$65,$B72+1)</f>
        <v>4</v>
      </c>
      <c r="F72" s="7">
        <f>INDEX(Sheet3!$AY$2:$BN$11,$A72,$E72+1)</f>
        <v>2151628607</v>
      </c>
      <c r="G72" s="7">
        <f>IF($B72&lt;16,_xlfn.BITOR(_xlfn.BITAND($K71,$L71),_xlfn.BITAND(4294967295-$K71,$M71)),IF($B72&lt;32,_xlfn.BITOR(_xlfn.BITAND($M71,$K71),_xlfn.BITAND(4294967295-$M71,$L71)),IF($B72&lt;48,_xlfn.BITXOR(_xlfn.BITXOR($K71,$L71),$M71),_xlfn.BITXOR($L71,_xlfn.BITOR($K71,4294967295-$M71)))))</f>
        <v>3531108362</v>
      </c>
      <c r="H72" s="7">
        <f>MOD($G72+$J71+$C72+$F72,4294967296)</f>
        <v>2750144415</v>
      </c>
      <c r="I72" s="7">
        <f>MOD($H72,2^(32-$D72))*2^$D72+INT($H72/2^(32-$D72))</f>
        <v>4126134225</v>
      </c>
      <c r="J72" s="7">
        <f>$M71</f>
        <v>2474143782</v>
      </c>
      <c r="K72" s="7">
        <f>MOD($K71+$I72,4294967296)</f>
        <v>925881358</v>
      </c>
      <c r="L72" s="7">
        <f>$K71</f>
        <v>1094714429</v>
      </c>
      <c r="M72" s="7">
        <f>$L71</f>
        <v>1559341130</v>
      </c>
    </row>
    <row r="73" spans="1:13">
      <c r="A73" s="7">
        <v>2</v>
      </c>
      <c r="B73" s="7">
        <v>5</v>
      </c>
      <c r="C73" s="7">
        <f>INDEX(Sheet2!$B$2:$B$65,$B73+1)</f>
        <v>1200080426</v>
      </c>
      <c r="D73" s="7">
        <f>INDEX(Sheet2!$C$2:$C$65,$B73+1)</f>
        <v>12</v>
      </c>
      <c r="E73" s="7">
        <f>INDEX(Sheet2!$D$2:$D$65,$B73+1)</f>
        <v>5</v>
      </c>
      <c r="F73" s="7">
        <f>INDEX(Sheet3!$AY$2:$BN$11,$A73,$E73+1)</f>
        <v>0</v>
      </c>
      <c r="G73" s="7">
        <f>IF($B73&lt;16,_xlfn.BITOR(_xlfn.BITAND($K72,$L72),_xlfn.BITAND(4294967295-$K72,$M72)),IF($B73&lt;32,_xlfn.BITOR(_xlfn.BITAND($M72,$K72),_xlfn.BITAND(4294967295-$M72,$L72)),IF($B73&lt;48,_xlfn.BITXOR(_xlfn.BITXOR($K72,$L72),$M72),_xlfn.BITXOR($L72,_xlfn.BITOR($K72,4294967295-$M72)))))</f>
        <v>1238379596</v>
      </c>
      <c r="H73" s="7">
        <f>MOD($G73+$J72+$C73+$F73,4294967296)</f>
        <v>617636508</v>
      </c>
      <c r="I73" s="7">
        <f>MOD($H73,2^(32-$D73))*2^$D73+INT($H73/2^(32-$D73))</f>
        <v>103400013</v>
      </c>
      <c r="J73" s="7">
        <f>$M72</f>
        <v>1559341130</v>
      </c>
      <c r="K73" s="7">
        <f>MOD($K72+$I73,4294967296)</f>
        <v>1029281371</v>
      </c>
      <c r="L73" s="7">
        <f>$K72</f>
        <v>925881358</v>
      </c>
      <c r="M73" s="7">
        <f>$L72</f>
        <v>1094714429</v>
      </c>
    </row>
    <row r="74" spans="1:13">
      <c r="A74" s="7">
        <v>2</v>
      </c>
      <c r="B74" s="7">
        <v>6</v>
      </c>
      <c r="C74" s="7">
        <f>INDEX(Sheet2!$B$2:$B$65,$B74+1)</f>
        <v>2821735955</v>
      </c>
      <c r="D74" s="7">
        <f>INDEX(Sheet2!$C$2:$C$65,$B74+1)</f>
        <v>17</v>
      </c>
      <c r="E74" s="7">
        <f>INDEX(Sheet2!$D$2:$D$65,$B74+1)</f>
        <v>6</v>
      </c>
      <c r="F74" s="7">
        <f>INDEX(Sheet3!$AY$2:$BN$11,$A74,$E74+1)</f>
        <v>0</v>
      </c>
      <c r="G74" s="7">
        <f>IF($B74&lt;16,_xlfn.BITOR(_xlfn.BITAND($K73,$L73),_xlfn.BITAND(4294967295-$K73,$M73)),IF($B74&lt;32,_xlfn.BITOR(_xlfn.BITAND($M73,$K73),_xlfn.BITAND(4294967295-$M73,$L73)),IF($B74&lt;48,_xlfn.BITXOR(_xlfn.BITXOR($K73,$L73),$M73),_xlfn.BITXOR($L73,_xlfn.BITOR($K73,4294967295-$M73)))))</f>
        <v>1963562030</v>
      </c>
      <c r="H74" s="7">
        <f>MOD($G74+$J73+$C74+$F74,4294967296)</f>
        <v>2049671819</v>
      </c>
      <c r="I74" s="7">
        <f>MOD($H74,2^(32-$D74))*2^$D74+INT($H74/2^(32-$D74))</f>
        <v>85390423</v>
      </c>
      <c r="J74" s="7">
        <f>$M73</f>
        <v>1094714429</v>
      </c>
      <c r="K74" s="7">
        <f>MOD($K73+$I74,4294967296)</f>
        <v>1114671794</v>
      </c>
      <c r="L74" s="7">
        <f>$K73</f>
        <v>1029281371</v>
      </c>
      <c r="M74" s="7">
        <f>$L73</f>
        <v>925881358</v>
      </c>
    </row>
    <row r="75" spans="1:13">
      <c r="A75" s="7">
        <v>2</v>
      </c>
      <c r="B75" s="7">
        <v>7</v>
      </c>
      <c r="C75" s="7">
        <f>INDEX(Sheet2!$B$2:$B$65,$B75+1)</f>
        <v>4249261313</v>
      </c>
      <c r="D75" s="7">
        <f>INDEX(Sheet2!$C$2:$C$65,$B75+1)</f>
        <v>22</v>
      </c>
      <c r="E75" s="7">
        <f>INDEX(Sheet2!$D$2:$D$65,$B75+1)</f>
        <v>7</v>
      </c>
      <c r="F75" s="7">
        <f>INDEX(Sheet3!$AY$2:$BN$11,$A75,$E75+1)</f>
        <v>0</v>
      </c>
      <c r="G75" s="7">
        <f>IF($B75&lt;16,_xlfn.BITOR(_xlfn.BITAND($K74,$L74),_xlfn.BITAND(4294967295-$K74,$M74)),IF($B75&lt;32,_xlfn.BITOR(_xlfn.BITAND($M74,$K74),_xlfn.BITAND(4294967295-$M74,$L74)),IF($B75&lt;48,_xlfn.BITXOR(_xlfn.BITXOR($K74,$L74),$M74),_xlfn.BITXOR($L74,_xlfn.BITOR($K74,4294967295-$M74)))))</f>
        <v>895473182</v>
      </c>
      <c r="H75" s="7">
        <f>MOD($G75+$J74+$C75+$F75,4294967296)</f>
        <v>1944481628</v>
      </c>
      <c r="I75" s="7">
        <f>MOD($H75,2^(32-$D75))*2^$D75+INT($H75/2^(32-$D75))</f>
        <v>3609000347</v>
      </c>
      <c r="J75" s="7">
        <f>$M74</f>
        <v>925881358</v>
      </c>
      <c r="K75" s="7">
        <f>MOD($K74+$I75,4294967296)</f>
        <v>428704845</v>
      </c>
      <c r="L75" s="7">
        <f>$K74</f>
        <v>1114671794</v>
      </c>
      <c r="M75" s="7">
        <f>$L74</f>
        <v>1029281371</v>
      </c>
    </row>
    <row r="76" spans="1:13">
      <c r="A76" s="7">
        <v>2</v>
      </c>
      <c r="B76" s="7">
        <v>8</v>
      </c>
      <c r="C76" s="7">
        <f>INDEX(Sheet2!$B$2:$B$65,$B76+1)</f>
        <v>1770035416</v>
      </c>
      <c r="D76" s="7">
        <f>INDEX(Sheet2!$C$2:$C$65,$B76+1)</f>
        <v>7</v>
      </c>
      <c r="E76" s="7">
        <f>INDEX(Sheet2!$D$2:$D$65,$B76+1)</f>
        <v>8</v>
      </c>
      <c r="F76" s="7">
        <f>INDEX(Sheet3!$AY$2:$BN$11,$A76,$E76+1)</f>
        <v>0</v>
      </c>
      <c r="G76" s="7">
        <f>IF($B76&lt;16,_xlfn.BITOR(_xlfn.BITAND($K75,$L75),_xlfn.BITAND(4294967295-$K75,$M75)),IF($B76&lt;32,_xlfn.BITOR(_xlfn.BITAND($M75,$K75),_xlfn.BITAND(4294967295-$M75,$L75)),IF($B76&lt;48,_xlfn.BITXOR(_xlfn.BITXOR($K75,$L75),$M75),_xlfn.BITXOR($L75,_xlfn.BITOR($K75,4294967295-$M75)))))</f>
        <v>609260050</v>
      </c>
      <c r="H76" s="7">
        <f>MOD($G76+$J75+$C76+$F76,4294967296)</f>
        <v>3305176824</v>
      </c>
      <c r="I76" s="7">
        <f>MOD($H76,2^(32-$D76))*2^$D76+INT($H76/2^(32-$D76))</f>
        <v>2155838562</v>
      </c>
      <c r="J76" s="7">
        <f>$M75</f>
        <v>1029281371</v>
      </c>
      <c r="K76" s="7">
        <f>MOD($K75+$I76,4294967296)</f>
        <v>2584543407</v>
      </c>
      <c r="L76" s="7">
        <f>$K75</f>
        <v>428704845</v>
      </c>
      <c r="M76" s="7">
        <f>$L75</f>
        <v>1114671794</v>
      </c>
    </row>
    <row r="77" spans="1:13">
      <c r="A77" s="7">
        <v>2</v>
      </c>
      <c r="B77" s="7">
        <v>9</v>
      </c>
      <c r="C77" s="7">
        <f>INDEX(Sheet2!$B$2:$B$65,$B77+1)</f>
        <v>2336552879</v>
      </c>
      <c r="D77" s="7">
        <f>INDEX(Sheet2!$C$2:$C$65,$B77+1)</f>
        <v>12</v>
      </c>
      <c r="E77" s="7">
        <f>INDEX(Sheet2!$D$2:$D$65,$B77+1)</f>
        <v>9</v>
      </c>
      <c r="F77" s="7">
        <f>INDEX(Sheet3!$AY$2:$BN$11,$A77,$E77+1)</f>
        <v>0</v>
      </c>
      <c r="G77" s="7">
        <f>IF($B77&lt;16,_xlfn.BITOR(_xlfn.BITAND($K76,$L76),_xlfn.BITAND(4294967295-$K76,$M76)),IF($B77&lt;32,_xlfn.BITOR(_xlfn.BITAND($M76,$K76),_xlfn.BITAND(4294967295-$M76,$L76)),IF($B77&lt;48,_xlfn.BITXOR(_xlfn.BITXOR($K76,$L76),$M76),_xlfn.BITXOR($L76,_xlfn.BITOR($K76,4294967295-$M76)))))</f>
        <v>1484622365</v>
      </c>
      <c r="H77" s="7">
        <f>MOD($G77+$J76+$C77+$F77,4294967296)</f>
        <v>555489319</v>
      </c>
      <c r="I77" s="7">
        <f>MOD($H77,2^(32-$D77))*2^$D77+INT($H77/2^(32-$D77))</f>
        <v>3246551569</v>
      </c>
      <c r="J77" s="7">
        <f>$M76</f>
        <v>1114671794</v>
      </c>
      <c r="K77" s="7">
        <f>MOD($K76+$I77,4294967296)</f>
        <v>1536127680</v>
      </c>
      <c r="L77" s="7">
        <f>$K76</f>
        <v>2584543407</v>
      </c>
      <c r="M77" s="7">
        <f>$L76</f>
        <v>428704845</v>
      </c>
    </row>
    <row r="78" spans="1:13">
      <c r="A78" s="7">
        <v>2</v>
      </c>
      <c r="B78" s="7">
        <v>10</v>
      </c>
      <c r="C78" s="7">
        <f>INDEX(Sheet2!$B$2:$B$65,$B78+1)</f>
        <v>4294925233</v>
      </c>
      <c r="D78" s="7">
        <f>INDEX(Sheet2!$C$2:$C$65,$B78+1)</f>
        <v>17</v>
      </c>
      <c r="E78" s="7">
        <f>INDEX(Sheet2!$D$2:$D$65,$B78+1)</f>
        <v>10</v>
      </c>
      <c r="F78" s="7">
        <f>INDEX(Sheet3!$AY$2:$BN$11,$A78,$E78+1)</f>
        <v>0</v>
      </c>
      <c r="G78" s="7">
        <f>IF($B78&lt;16,_xlfn.BITOR(_xlfn.BITAND($K77,$L77),_xlfn.BITAND(4294967295-$K77,$M77)),IF($B78&lt;32,_xlfn.BITOR(_xlfn.BITAND($M77,$K77),_xlfn.BITAND(4294967295-$M77,$L77)),IF($B78&lt;48,_xlfn.BITXOR(_xlfn.BITXOR($K77,$L77),$M77),_xlfn.BITXOR($L77,_xlfn.BITOR($K77,4294967295-$M77)))))</f>
        <v>437093517</v>
      </c>
      <c r="H78" s="7">
        <f>MOD($G78+$J77+$C78+$F78,4294967296)</f>
        <v>1551723248</v>
      </c>
      <c r="I78" s="7">
        <f>MOD($H78,2^(32-$D78))*2^$D78+INT($H78/2^(32-$D78))</f>
        <v>3588274426</v>
      </c>
      <c r="J78" s="7">
        <f>$M77</f>
        <v>428704845</v>
      </c>
      <c r="K78" s="7">
        <f>MOD($K77+$I78,4294967296)</f>
        <v>829434810</v>
      </c>
      <c r="L78" s="7">
        <f>$K77</f>
        <v>1536127680</v>
      </c>
      <c r="M78" s="7">
        <f>$L77</f>
        <v>2584543407</v>
      </c>
    </row>
    <row r="79" spans="1:13">
      <c r="A79" s="7">
        <v>2</v>
      </c>
      <c r="B79" s="7">
        <v>11</v>
      </c>
      <c r="C79" s="7">
        <f>INDEX(Sheet2!$B$2:$B$65,$B79+1)</f>
        <v>2304563134</v>
      </c>
      <c r="D79" s="7">
        <f>INDEX(Sheet2!$C$2:$C$65,$B79+1)</f>
        <v>22</v>
      </c>
      <c r="E79" s="7">
        <f>INDEX(Sheet2!$D$2:$D$65,$B79+1)</f>
        <v>11</v>
      </c>
      <c r="F79" s="7">
        <f>INDEX(Sheet3!$AY$2:$BN$11,$A79,$E79+1)</f>
        <v>0</v>
      </c>
      <c r="G79" s="7">
        <f>IF($B79&lt;16,_xlfn.BITOR(_xlfn.BITAND($K78,$L78),_xlfn.BITAND(4294967295-$K78,$M78)),IF($B79&lt;32,_xlfn.BITOR(_xlfn.BITAND($M78,$K78),_xlfn.BITAND(4294967295-$M78,$L78)),IF($B79&lt;48,_xlfn.BITXOR(_xlfn.BITXOR($K78,$L78),$M78),_xlfn.BITXOR($L78,_xlfn.BITOR($K78,4294967295-$M78)))))</f>
        <v>2601329285</v>
      </c>
      <c r="H79" s="7">
        <f>MOD($G79+$J78+$C79+$F79,4294967296)</f>
        <v>1039629968</v>
      </c>
      <c r="I79" s="7">
        <f>MOD($H79,2^(32-$D79))*2^$D79+INT($H79/2^(32-$D79))</f>
        <v>2752478687</v>
      </c>
      <c r="J79" s="7">
        <f>$M78</f>
        <v>2584543407</v>
      </c>
      <c r="K79" s="7">
        <f>MOD($K78+$I79,4294967296)</f>
        <v>3581913497</v>
      </c>
      <c r="L79" s="7">
        <f>$K78</f>
        <v>829434810</v>
      </c>
      <c r="M79" s="7">
        <f>$L78</f>
        <v>1536127680</v>
      </c>
    </row>
    <row r="80" spans="1:13">
      <c r="A80" s="7">
        <v>2</v>
      </c>
      <c r="B80" s="7">
        <v>12</v>
      </c>
      <c r="C80" s="7">
        <f>INDEX(Sheet2!$B$2:$B$65,$B80+1)</f>
        <v>1804603682</v>
      </c>
      <c r="D80" s="7">
        <f>INDEX(Sheet2!$C$2:$C$65,$B80+1)</f>
        <v>7</v>
      </c>
      <c r="E80" s="7">
        <f>INDEX(Sheet2!$D$2:$D$65,$B80+1)</f>
        <v>12</v>
      </c>
      <c r="F80" s="7">
        <f>INDEX(Sheet3!$AY$2:$BN$11,$A80,$E80+1)</f>
        <v>0</v>
      </c>
      <c r="G80" s="7">
        <f>IF($B80&lt;16,_xlfn.BITOR(_xlfn.BITAND($K79,$L79),_xlfn.BITAND(4294967295-$K79,$M79)),IF($B80&lt;32,_xlfn.BITOR(_xlfn.BITAND($M79,$K79),_xlfn.BITAND(4294967295-$M79,$L79)),IF($B80&lt;48,_xlfn.BITXOR(_xlfn.BITXOR($K79,$L79),$M79),_xlfn.BITXOR($L79,_xlfn.BITOR($K79,4294967295-$M79)))))</f>
        <v>468745176</v>
      </c>
      <c r="H80" s="7">
        <f>MOD($G80+$J79+$C80+$F80,4294967296)</f>
        <v>562924969</v>
      </c>
      <c r="I80" s="7">
        <f>MOD($H80,2^(32-$D80))*2^$D80+INT($H80/2^(32-$D80))</f>
        <v>3334919312</v>
      </c>
      <c r="J80" s="7">
        <f>$M79</f>
        <v>1536127680</v>
      </c>
      <c r="K80" s="7">
        <f>MOD($K79+$I80,4294967296)</f>
        <v>2621865513</v>
      </c>
      <c r="L80" s="7">
        <f>$K79</f>
        <v>3581913497</v>
      </c>
      <c r="M80" s="7">
        <f>$L79</f>
        <v>829434810</v>
      </c>
    </row>
    <row r="81" spans="1:13">
      <c r="A81" s="7">
        <v>2</v>
      </c>
      <c r="B81" s="7">
        <v>13</v>
      </c>
      <c r="C81" s="7">
        <f>INDEX(Sheet2!$B$2:$B$65,$B81+1)</f>
        <v>4254626195</v>
      </c>
      <c r="D81" s="7">
        <f>INDEX(Sheet2!$C$2:$C$65,$B81+1)</f>
        <v>12</v>
      </c>
      <c r="E81" s="7">
        <f>INDEX(Sheet2!$D$2:$D$65,$B81+1)</f>
        <v>13</v>
      </c>
      <c r="F81" s="7">
        <f>INDEX(Sheet3!$AY$2:$BN$11,$A81,$E81+1)</f>
        <v>0</v>
      </c>
      <c r="G81" s="7">
        <f>IF($B81&lt;16,_xlfn.BITOR(_xlfn.BITAND($K80,$L80),_xlfn.BITAND(4294967295-$K80,$M80)),IF($B81&lt;32,_xlfn.BITOR(_xlfn.BITAND($M80,$K80),_xlfn.BITAND(4294967295-$M80,$L80)),IF($B81&lt;48,_xlfn.BITXOR(_xlfn.BITXOR($K80,$L80),$M80),_xlfn.BITXOR($L80,_xlfn.BITOR($K80,4294967295-$M80)))))</f>
        <v>3044419995</v>
      </c>
      <c r="H81" s="7">
        <f>MOD($G81+$J80+$C81+$F81,4294967296)</f>
        <v>245239278</v>
      </c>
      <c r="I81" s="7">
        <f>MOD($H81,2^(32-$D81))*2^$D81+INT($H81/2^(32-$D81))</f>
        <v>3772702953</v>
      </c>
      <c r="J81" s="7">
        <f>$M80</f>
        <v>829434810</v>
      </c>
      <c r="K81" s="7">
        <f>MOD($K80+$I81,4294967296)</f>
        <v>2099601170</v>
      </c>
      <c r="L81" s="7">
        <f>$K80</f>
        <v>2621865513</v>
      </c>
      <c r="M81" s="7">
        <f>$L80</f>
        <v>3581913497</v>
      </c>
    </row>
    <row r="82" spans="1:13">
      <c r="A82" s="7">
        <v>2</v>
      </c>
      <c r="B82" s="7">
        <v>14</v>
      </c>
      <c r="C82" s="7">
        <f>INDEX(Sheet2!$B$2:$B$65,$B82+1)</f>
        <v>2792965006</v>
      </c>
      <c r="D82" s="7">
        <f>INDEX(Sheet2!$C$2:$C$65,$B82+1)</f>
        <v>17</v>
      </c>
      <c r="E82" s="7">
        <f>INDEX(Sheet2!$D$2:$D$65,$B82+1)</f>
        <v>14</v>
      </c>
      <c r="F82" s="7">
        <f>INDEX(Sheet3!$AY$2:$BN$11,$A82,$E82+1)</f>
        <v>152</v>
      </c>
      <c r="G82" s="7">
        <f>IF($B82&lt;16,_xlfn.BITOR(_xlfn.BITAND($K81,$L81),_xlfn.BITAND(4294967295-$K81,$M81)),IF($B82&lt;32,_xlfn.BITOR(_xlfn.BITAND($M81,$K81),_xlfn.BITAND(4294967295-$M81,$L81)),IF($B82&lt;48,_xlfn.BITXOR(_xlfn.BITXOR($K81,$L81),$M81),_xlfn.BITXOR($L81,_xlfn.BITOR($K81,4294967295-$M81)))))</f>
        <v>2623471241</v>
      </c>
      <c r="H82" s="7">
        <f>MOD($G82+$J81+$C82+$F82,4294967296)</f>
        <v>1950903913</v>
      </c>
      <c r="I82" s="7">
        <f>MOD($H82,2^(32-$D82))*2^$D82+INT($H82/2^(32-$D82))</f>
        <v>3704809616</v>
      </c>
      <c r="J82" s="7">
        <f>$M81</f>
        <v>3581913497</v>
      </c>
      <c r="K82" s="7">
        <f>MOD($K81+$I82,4294967296)</f>
        <v>1509443490</v>
      </c>
      <c r="L82" s="7">
        <f>$K81</f>
        <v>2099601170</v>
      </c>
      <c r="M82" s="7">
        <f>$L81</f>
        <v>2621865513</v>
      </c>
    </row>
    <row r="83" spans="1:13">
      <c r="A83" s="7">
        <v>2</v>
      </c>
      <c r="B83" s="7">
        <v>15</v>
      </c>
      <c r="C83" s="7">
        <f>INDEX(Sheet2!$B$2:$B$65,$B83+1)</f>
        <v>1236535329</v>
      </c>
      <c r="D83" s="7">
        <f>INDEX(Sheet2!$C$2:$C$65,$B83+1)</f>
        <v>22</v>
      </c>
      <c r="E83" s="7">
        <f>INDEX(Sheet2!$D$2:$D$65,$B83+1)</f>
        <v>15</v>
      </c>
      <c r="F83" s="7">
        <f>INDEX(Sheet3!$AY$2:$BN$11,$A83,$E83+1)</f>
        <v>0</v>
      </c>
      <c r="G83" s="7">
        <f>IF($B83&lt;16,_xlfn.BITOR(_xlfn.BITAND($K82,$L82),_xlfn.BITAND(4294967295-$K82,$M82)),IF($B83&lt;32,_xlfn.BITOR(_xlfn.BITAND($M82,$K82),_xlfn.BITAND(4294967295-$M82,$L82)),IF($B83&lt;48,_xlfn.BITXOR(_xlfn.BITXOR($K82,$L82),$M82),_xlfn.BITXOR($L82,_xlfn.BITOR($K82,4294967295-$M82)))))</f>
        <v>3710287627</v>
      </c>
      <c r="H83" s="7">
        <f>MOD($G83+$J82+$C83+$F83,4294967296)</f>
        <v>4233769157</v>
      </c>
      <c r="I83" s="7">
        <f>MOD($H83,2^(32-$D83))*2^$D83+INT($H83/2^(32-$D83))</f>
        <v>830412428</v>
      </c>
      <c r="J83" s="7">
        <f>$M82</f>
        <v>2621865513</v>
      </c>
      <c r="K83" s="7">
        <f>MOD($K82+$I83,4294967296)</f>
        <v>2339855918</v>
      </c>
      <c r="L83" s="7">
        <f>$K82</f>
        <v>1509443490</v>
      </c>
      <c r="M83" s="7">
        <f>$L82</f>
        <v>2099601170</v>
      </c>
    </row>
    <row r="84" spans="1:13">
      <c r="A84" s="7">
        <v>2</v>
      </c>
      <c r="B84" s="7">
        <v>16</v>
      </c>
      <c r="C84" s="7">
        <f>INDEX(Sheet2!$B$2:$B$65,$B84+1)</f>
        <v>4129170786</v>
      </c>
      <c r="D84" s="7">
        <f>INDEX(Sheet2!$C$2:$C$65,$B84+1)</f>
        <v>5</v>
      </c>
      <c r="E84" s="7">
        <f>INDEX(Sheet2!$D$2:$D$65,$B84+1)</f>
        <v>1</v>
      </c>
      <c r="F84" s="7">
        <f>INDEX(Sheet3!$AY$2:$BN$11,$A84,$E84+1)</f>
        <v>862876511</v>
      </c>
      <c r="G84" s="7">
        <f>IF($B84&lt;16,_xlfn.BITOR(_xlfn.BITAND($K83,$L83),_xlfn.BITAND(4294967295-$K83,$M83)),IF($B84&lt;32,_xlfn.BITOR(_xlfn.BITAND($M83,$K83),_xlfn.BITAND(4294967295-$M83,$L83)),IF($B84&lt;48,_xlfn.BITXOR(_xlfn.BITXOR($K83,$L83),$M83),_xlfn.BITXOR($L83,_xlfn.BITOR($K83,4294967295-$M83)))))</f>
        <v>167599778</v>
      </c>
      <c r="H84" s="7">
        <f>MOD($G84+$J83+$C84+$F84,4294967296)</f>
        <v>3486545292</v>
      </c>
      <c r="I84" s="7">
        <f>MOD($H84,2^(32-$D84))*2^$D84+INT($H84/2^(32-$D84))</f>
        <v>4195266969</v>
      </c>
      <c r="J84" s="7">
        <f>$M83</f>
        <v>2099601170</v>
      </c>
      <c r="K84" s="7">
        <f>MOD($K83+$I84,4294967296)</f>
        <v>2240155591</v>
      </c>
      <c r="L84" s="7">
        <f>$K83</f>
        <v>2339855918</v>
      </c>
      <c r="M84" s="7">
        <f>$L83</f>
        <v>1509443490</v>
      </c>
    </row>
    <row r="85" spans="1:13">
      <c r="A85" s="7">
        <v>2</v>
      </c>
      <c r="B85" s="7">
        <v>17</v>
      </c>
      <c r="C85" s="7">
        <f>INDEX(Sheet2!$B$2:$B$65,$B85+1)</f>
        <v>3225465664</v>
      </c>
      <c r="D85" s="7">
        <f>INDEX(Sheet2!$C$2:$C$65,$B85+1)</f>
        <v>9</v>
      </c>
      <c r="E85" s="7">
        <f>INDEX(Sheet2!$D$2:$D$65,$B85+1)</f>
        <v>6</v>
      </c>
      <c r="F85" s="7">
        <f>INDEX(Sheet3!$AY$2:$BN$11,$A85,$E85+1)</f>
        <v>0</v>
      </c>
      <c r="G85" s="7">
        <f>IF($B85&lt;16,_xlfn.BITOR(_xlfn.BITAND($K84,$L84),_xlfn.BITAND(4294967295-$K84,$M84)),IF($B85&lt;32,_xlfn.BITOR(_xlfn.BITAND($M84,$K84),_xlfn.BITAND(4294967295-$M84,$L84)),IF($B85&lt;48,_xlfn.BITXOR(_xlfn.BITXOR($K84,$L84),$M84),_xlfn.BITXOR($L84,_xlfn.BITOR($K84,4294967295-$M84)))))</f>
        <v>2206670734</v>
      </c>
      <c r="H85" s="7">
        <f>MOD($G85+$J84+$C85+$F85,4294967296)</f>
        <v>3236770272</v>
      </c>
      <c r="I85" s="7">
        <f>MOD($H85,2^(32-$D85))*2^$D85+INT($H85/2^(32-$D85))</f>
        <v>3663970689</v>
      </c>
      <c r="J85" s="7">
        <f>$M84</f>
        <v>1509443490</v>
      </c>
      <c r="K85" s="7">
        <f>MOD($K84+$I85,4294967296)</f>
        <v>1609158984</v>
      </c>
      <c r="L85" s="7">
        <f>$K84</f>
        <v>2240155591</v>
      </c>
      <c r="M85" s="7">
        <f>$L84</f>
        <v>2339855918</v>
      </c>
    </row>
    <row r="86" spans="1:13">
      <c r="A86" s="7">
        <v>2</v>
      </c>
      <c r="B86" s="7">
        <v>18</v>
      </c>
      <c r="C86" s="7">
        <f>INDEX(Sheet2!$B$2:$B$65,$B86+1)</f>
        <v>643717713</v>
      </c>
      <c r="D86" s="7">
        <f>INDEX(Sheet2!$C$2:$C$65,$B86+1)</f>
        <v>14</v>
      </c>
      <c r="E86" s="7">
        <f>INDEX(Sheet2!$D$2:$D$65,$B86+1)</f>
        <v>11</v>
      </c>
      <c r="F86" s="7">
        <f>INDEX(Sheet3!$AY$2:$BN$11,$A86,$E86+1)</f>
        <v>0</v>
      </c>
      <c r="G86" s="7">
        <f>IF($B86&lt;16,_xlfn.BITOR(_xlfn.BITAND($K85,$L85),_xlfn.BITAND(4294967295-$K85,$M85)),IF($B86&lt;32,_xlfn.BITOR(_xlfn.BITAND($M85,$K85),_xlfn.BITAND(4294967295-$M85,$L85)),IF($B86&lt;48,_xlfn.BITXOR(_xlfn.BITXOR($K85,$L85),$M85),_xlfn.BITXOR($L85,_xlfn.BITOR($K85,4294967295-$M85)))))</f>
        <v>266424777</v>
      </c>
      <c r="H86" s="7">
        <f>MOD($G86+$J85+$C86+$F86,4294967296)</f>
        <v>2419585980</v>
      </c>
      <c r="I86" s="7">
        <f>MOD($H86,2^(32-$D86))*2^$D86+INT($H86/2^(32-$D86))</f>
        <v>4243530765</v>
      </c>
      <c r="J86" s="7">
        <f>$M85</f>
        <v>2339855918</v>
      </c>
      <c r="K86" s="7">
        <f>MOD($K85+$I86,4294967296)</f>
        <v>1557722453</v>
      </c>
      <c r="L86" s="7">
        <f>$K85</f>
        <v>1609158984</v>
      </c>
      <c r="M86" s="7">
        <f>$L85</f>
        <v>2240155591</v>
      </c>
    </row>
    <row r="87" spans="1:13">
      <c r="A87" s="7">
        <v>2</v>
      </c>
      <c r="B87" s="7">
        <v>19</v>
      </c>
      <c r="C87" s="7">
        <f>INDEX(Sheet2!$B$2:$B$65,$B87+1)</f>
        <v>3921069994</v>
      </c>
      <c r="D87" s="7">
        <f>INDEX(Sheet2!$C$2:$C$65,$B87+1)</f>
        <v>20</v>
      </c>
      <c r="E87" s="7">
        <f>INDEX(Sheet2!$D$2:$D$65,$B87+1)</f>
        <v>0</v>
      </c>
      <c r="F87" s="7">
        <f>INDEX(Sheet3!$AY$2:$BN$11,$A87,$E87+1)</f>
        <v>1701654643</v>
      </c>
      <c r="G87" s="7">
        <f>IF($B87&lt;16,_xlfn.BITOR(_xlfn.BITAND($K86,$L86),_xlfn.BITAND(4294967295-$K86,$M86)),IF($B87&lt;32,_xlfn.BITOR(_xlfn.BITAND($M86,$K86),_xlfn.BITAND(4294967295-$M86,$L86)),IF($B87&lt;48,_xlfn.BITXOR(_xlfn.BITXOR($K86,$L86),$M86),_xlfn.BITXOR($L86,_xlfn.BITOR($K86,4294967295-$M86)))))</f>
        <v>1592382797</v>
      </c>
      <c r="H87" s="7">
        <f>MOD($G87+$J86+$C87+$F87,4294967296)</f>
        <v>965028760</v>
      </c>
      <c r="I87" s="7">
        <f>MOD($H87,2^(32-$D87))*2^$D87+INT($H87/2^(32-$D87))</f>
        <v>3112409170</v>
      </c>
      <c r="J87" s="7">
        <f>$M86</f>
        <v>2240155591</v>
      </c>
      <c r="K87" s="7">
        <f>MOD($K86+$I87,4294967296)</f>
        <v>375164327</v>
      </c>
      <c r="L87" s="7">
        <f>$K86</f>
        <v>1557722453</v>
      </c>
      <c r="M87" s="7">
        <f>$L86</f>
        <v>1609158984</v>
      </c>
    </row>
    <row r="88" spans="1:13">
      <c r="A88" s="7">
        <v>2</v>
      </c>
      <c r="B88" s="7">
        <v>20</v>
      </c>
      <c r="C88" s="7">
        <f>INDEX(Sheet2!$B$2:$B$65,$B88+1)</f>
        <v>3593408605</v>
      </c>
      <c r="D88" s="7">
        <f>INDEX(Sheet2!$C$2:$C$65,$B88+1)</f>
        <v>5</v>
      </c>
      <c r="E88" s="7">
        <f>INDEX(Sheet2!$D$2:$D$65,$B88+1)</f>
        <v>5</v>
      </c>
      <c r="F88" s="7">
        <f>INDEX(Sheet3!$AY$2:$BN$11,$A88,$E88+1)</f>
        <v>0</v>
      </c>
      <c r="G88" s="7">
        <f>IF($B88&lt;16,_xlfn.BITOR(_xlfn.BITAND($K87,$L87),_xlfn.BITAND(4294967295-$K87,$M87)),IF($B88&lt;32,_xlfn.BITOR(_xlfn.BITAND($M87,$K87),_xlfn.BITAND(4294967295-$M87,$L87)),IF($B88&lt;48,_xlfn.BITXOR(_xlfn.BITXOR($K87,$L87),$M87),_xlfn.BITXOR($L87,_xlfn.BITOR($K87,4294967295-$M87)))))</f>
        <v>374908181</v>
      </c>
      <c r="H88" s="7">
        <f>MOD($G88+$J87+$C88+$F88,4294967296)</f>
        <v>1913505081</v>
      </c>
      <c r="I88" s="7">
        <f>MOD($H88,2^(32-$D88))*2^$D88+INT($H88/2^(32-$D88))</f>
        <v>1102620462</v>
      </c>
      <c r="J88" s="7">
        <f>$M87</f>
        <v>1609158984</v>
      </c>
      <c r="K88" s="7">
        <f>MOD($K87+$I88,4294967296)</f>
        <v>1477784789</v>
      </c>
      <c r="L88" s="7">
        <f>$K87</f>
        <v>375164327</v>
      </c>
      <c r="M88" s="7">
        <f>$L87</f>
        <v>1557722453</v>
      </c>
    </row>
    <row r="89" spans="1:13">
      <c r="A89" s="7">
        <v>2</v>
      </c>
      <c r="B89" s="7">
        <v>21</v>
      </c>
      <c r="C89" s="7">
        <f>INDEX(Sheet2!$B$2:$B$65,$B89+1)</f>
        <v>38016083</v>
      </c>
      <c r="D89" s="7">
        <f>INDEX(Sheet2!$C$2:$C$65,$B89+1)</f>
        <v>9</v>
      </c>
      <c r="E89" s="7">
        <f>INDEX(Sheet2!$D$2:$D$65,$B89+1)</f>
        <v>10</v>
      </c>
      <c r="F89" s="7">
        <f>INDEX(Sheet3!$AY$2:$BN$11,$A89,$E89+1)</f>
        <v>0</v>
      </c>
      <c r="G89" s="7">
        <f>IF($B89&lt;16,_xlfn.BITOR(_xlfn.BITAND($K88,$L88),_xlfn.BITAND(4294967295-$K88,$M88)),IF($B89&lt;32,_xlfn.BITOR(_xlfn.BITAND($M88,$K88),_xlfn.BITAND(4294967295-$M88,$L88)),IF($B89&lt;48,_xlfn.BITXOR(_xlfn.BITXOR($K88,$L88),$M88),_xlfn.BITXOR($L88,_xlfn.BITOR($K88,4294967295-$M88)))))</f>
        <v>1511275767</v>
      </c>
      <c r="H89" s="7">
        <f>MOD($G89+$J88+$C89+$F89,4294967296)</f>
        <v>3158450834</v>
      </c>
      <c r="I89" s="7">
        <f>MOD($H89,2^(32-$D89))*2^$D89+INT($H89/2^(32-$D89))</f>
        <v>2219124088</v>
      </c>
      <c r="J89" s="7">
        <f>$M88</f>
        <v>1557722453</v>
      </c>
      <c r="K89" s="7">
        <f>MOD($K88+$I89,4294967296)</f>
        <v>3696908877</v>
      </c>
      <c r="L89" s="7">
        <f>$K88</f>
        <v>1477784789</v>
      </c>
      <c r="M89" s="7">
        <f>$L88</f>
        <v>375164327</v>
      </c>
    </row>
    <row r="90" spans="1:13">
      <c r="A90" s="7">
        <v>2</v>
      </c>
      <c r="B90" s="7">
        <v>22</v>
      </c>
      <c r="C90" s="7">
        <f>INDEX(Sheet2!$B$2:$B$65,$B90+1)</f>
        <v>3634488961</v>
      </c>
      <c r="D90" s="7">
        <f>INDEX(Sheet2!$C$2:$C$65,$B90+1)</f>
        <v>14</v>
      </c>
      <c r="E90" s="7">
        <f>INDEX(Sheet2!$D$2:$D$65,$B90+1)</f>
        <v>15</v>
      </c>
      <c r="F90" s="7">
        <f>INDEX(Sheet3!$AY$2:$BN$11,$A90,$E90+1)</f>
        <v>0</v>
      </c>
      <c r="G90" s="7">
        <f>IF($B90&lt;16,_xlfn.BITOR(_xlfn.BITAND($K89,$L89),_xlfn.BITAND(4294967295-$K89,$M89)),IF($B90&lt;32,_xlfn.BITOR(_xlfn.BITAND($M89,$K89),_xlfn.BITAND(4294967295-$M89,$L89)),IF($B90&lt;48,_xlfn.BITXOR(_xlfn.BITXOR($K89,$L89),$M89),_xlfn.BITXOR($L89,_xlfn.BITOR($K89,4294967295-$M89)))))</f>
        <v>1549350997</v>
      </c>
      <c r="H90" s="7">
        <f>MOD($G90+$J89+$C90+$F90,4294967296)</f>
        <v>2446595115</v>
      </c>
      <c r="I90" s="7">
        <f>MOD($H90,2^(32-$D90))*2^$D90+INT($H90/2^(32-$D90))</f>
        <v>84599925</v>
      </c>
      <c r="J90" s="7">
        <f>$M89</f>
        <v>375164327</v>
      </c>
      <c r="K90" s="7">
        <f>MOD($K89+$I90,4294967296)</f>
        <v>3781508802</v>
      </c>
      <c r="L90" s="7">
        <f>$K89</f>
        <v>3696908877</v>
      </c>
      <c r="M90" s="7">
        <f>$L89</f>
        <v>1477784789</v>
      </c>
    </row>
    <row r="91" spans="1:13">
      <c r="A91" s="7">
        <v>2</v>
      </c>
      <c r="B91" s="7">
        <v>23</v>
      </c>
      <c r="C91" s="7">
        <f>INDEX(Sheet2!$B$2:$B$65,$B91+1)</f>
        <v>3889429448</v>
      </c>
      <c r="D91" s="7">
        <f>INDEX(Sheet2!$C$2:$C$65,$B91+1)</f>
        <v>20</v>
      </c>
      <c r="E91" s="7">
        <f>INDEX(Sheet2!$D$2:$D$65,$B91+1)</f>
        <v>4</v>
      </c>
      <c r="F91" s="7">
        <f>INDEX(Sheet3!$AY$2:$BN$11,$A91,$E91+1)</f>
        <v>2151628607</v>
      </c>
      <c r="G91" s="7">
        <f>IF($B91&lt;16,_xlfn.BITOR(_xlfn.BITAND($K90,$L90),_xlfn.BITAND(4294967295-$K90,$M90)),IF($B91&lt;32,_xlfn.BITOR(_xlfn.BITAND($M90,$K90),_xlfn.BITAND(4294967295-$M90,$L90)),IF($B91&lt;48,_xlfn.BITXOR(_xlfn.BITXOR($K90,$L90),$M90),_xlfn.BITXOR($L90,_xlfn.BITOR($K90,4294967295-$M90)))))</f>
        <v>3293544136</v>
      </c>
      <c r="H91" s="7">
        <f>MOD($G91+$J90+$C91+$F91,4294967296)</f>
        <v>1119831926</v>
      </c>
      <c r="I91" s="7">
        <f>MOD($H91,2^(32-$D91))*2^$D91+INT($H91/2^(32-$D91))</f>
        <v>2003053556</v>
      </c>
      <c r="J91" s="7">
        <f>$M90</f>
        <v>1477784789</v>
      </c>
      <c r="K91" s="7">
        <f>MOD($K90+$I91,4294967296)</f>
        <v>1489595062</v>
      </c>
      <c r="L91" s="7">
        <f>$K90</f>
        <v>3781508802</v>
      </c>
      <c r="M91" s="7">
        <f>$L90</f>
        <v>3696908877</v>
      </c>
    </row>
    <row r="92" spans="1:13">
      <c r="A92" s="7">
        <v>2</v>
      </c>
      <c r="B92" s="7">
        <v>24</v>
      </c>
      <c r="C92" s="7">
        <f>INDEX(Sheet2!$B$2:$B$65,$B92+1)</f>
        <v>568446438</v>
      </c>
      <c r="D92" s="7">
        <f>INDEX(Sheet2!$C$2:$C$65,$B92+1)</f>
        <v>5</v>
      </c>
      <c r="E92" s="7">
        <f>INDEX(Sheet2!$D$2:$D$65,$B92+1)</f>
        <v>9</v>
      </c>
      <c r="F92" s="7">
        <f>INDEX(Sheet3!$AY$2:$BN$11,$A92,$E92+1)</f>
        <v>0</v>
      </c>
      <c r="G92" s="7">
        <f>IF($B92&lt;16,_xlfn.BITOR(_xlfn.BITAND($K91,$L91),_xlfn.BITAND(4294967295-$K91,$M91)),IF($B92&lt;32,_xlfn.BITOR(_xlfn.BITAND($M91,$K91),_xlfn.BITAND(4294967295-$M91,$L91)),IF($B92&lt;48,_xlfn.BITXOR(_xlfn.BITXOR($K91,$L91),$M91),_xlfn.BITXOR($L91,_xlfn.BITOR($K91,4294967295-$M91)))))</f>
        <v>2037214854</v>
      </c>
      <c r="H92" s="7">
        <f>MOD($G92+$J91+$C92+$F92,4294967296)</f>
        <v>4083446081</v>
      </c>
      <c r="I92" s="7">
        <f>MOD($H92,2^(32-$D92))*2^$D92+INT($H92/2^(32-$D92))</f>
        <v>1821255742</v>
      </c>
      <c r="J92" s="7">
        <f>$M91</f>
        <v>3696908877</v>
      </c>
      <c r="K92" s="7">
        <f>MOD($K91+$I92,4294967296)</f>
        <v>3310850804</v>
      </c>
      <c r="L92" s="7">
        <f>$K91</f>
        <v>1489595062</v>
      </c>
      <c r="M92" s="7">
        <f>$L91</f>
        <v>3781508802</v>
      </c>
    </row>
    <row r="93" spans="1:13">
      <c r="A93" s="7">
        <v>2</v>
      </c>
      <c r="B93" s="7">
        <v>25</v>
      </c>
      <c r="C93" s="7">
        <f>INDEX(Sheet2!$B$2:$B$65,$B93+1)</f>
        <v>3275163606</v>
      </c>
      <c r="D93" s="7">
        <f>INDEX(Sheet2!$C$2:$C$65,$B93+1)</f>
        <v>9</v>
      </c>
      <c r="E93" s="7">
        <f>INDEX(Sheet2!$D$2:$D$65,$B93+1)</f>
        <v>14</v>
      </c>
      <c r="F93" s="7">
        <f>INDEX(Sheet3!$AY$2:$BN$11,$A93,$E93+1)</f>
        <v>152</v>
      </c>
      <c r="G93" s="7">
        <f>IF($B93&lt;16,_xlfn.BITOR(_xlfn.BITAND($K92,$L92),_xlfn.BITAND(4294967295-$K92,$M92)),IF($B93&lt;32,_xlfn.BITOR(_xlfn.BITAND($M92,$K92),_xlfn.BITAND(4294967295-$M92,$L92)),IF($B93&lt;48,_xlfn.BITXOR(_xlfn.BITXOR($K92,$L92),$M92),_xlfn.BITXOR($L92,_xlfn.BITOR($K92,4294967295-$M92)))))</f>
        <v>3654111988</v>
      </c>
      <c r="H93" s="7">
        <f>MOD($G93+$J92+$C93+$F93,4294967296)</f>
        <v>2036250031</v>
      </c>
      <c r="I93" s="7">
        <f>MOD($H93,2^(32-$D93))*2^$D93+INT($H93/2^(32-$D93))</f>
        <v>3177930482</v>
      </c>
      <c r="J93" s="7">
        <f>$M92</f>
        <v>3781508802</v>
      </c>
      <c r="K93" s="7">
        <f>MOD($K92+$I93,4294967296)</f>
        <v>2193813990</v>
      </c>
      <c r="L93" s="7">
        <f>$K92</f>
        <v>3310850804</v>
      </c>
      <c r="M93" s="7">
        <f>$L92</f>
        <v>1489595062</v>
      </c>
    </row>
    <row r="94" spans="1:13">
      <c r="A94" s="7">
        <v>2</v>
      </c>
      <c r="B94" s="7">
        <v>26</v>
      </c>
      <c r="C94" s="7">
        <f>INDEX(Sheet2!$B$2:$B$65,$B94+1)</f>
        <v>4107603335</v>
      </c>
      <c r="D94" s="7">
        <f>INDEX(Sheet2!$C$2:$C$65,$B94+1)</f>
        <v>14</v>
      </c>
      <c r="E94" s="7">
        <f>INDEX(Sheet2!$D$2:$D$65,$B94+1)</f>
        <v>3</v>
      </c>
      <c r="F94" s="7">
        <f>INDEX(Sheet3!$AY$2:$BN$11,$A94,$E94+1)</f>
        <v>1953248371</v>
      </c>
      <c r="G94" s="7">
        <f>IF($B94&lt;16,_xlfn.BITOR(_xlfn.BITAND($K93,$L93),_xlfn.BITAND(4294967295-$K93,$M93)),IF($B94&lt;32,_xlfn.BITOR(_xlfn.BITAND($M93,$K93),_xlfn.BITAND(4294967295-$M93,$L93)),IF($B94&lt;48,_xlfn.BITXOR(_xlfn.BITXOR($K93,$L93),$M93),_xlfn.BITXOR($L93,_xlfn.BITOR($K93,4294967295-$M93)))))</f>
        <v>2245456102</v>
      </c>
      <c r="H94" s="7">
        <f>MOD($G94+$J93+$C94+$F94,4294967296)</f>
        <v>3497882018</v>
      </c>
      <c r="I94" s="7">
        <f>MOD($H94,2^(32-$D94))*2^$D94+INT($H94/2^(32-$D94))</f>
        <v>1550365727</v>
      </c>
      <c r="J94" s="7">
        <f>$M93</f>
        <v>1489595062</v>
      </c>
      <c r="K94" s="7">
        <f>MOD($K93+$I94,4294967296)</f>
        <v>3744179717</v>
      </c>
      <c r="L94" s="7">
        <f>$K93</f>
        <v>2193813990</v>
      </c>
      <c r="M94" s="7">
        <f>$L93</f>
        <v>3310850804</v>
      </c>
    </row>
    <row r="95" spans="1:13">
      <c r="A95" s="7">
        <v>2</v>
      </c>
      <c r="B95" s="7">
        <v>27</v>
      </c>
      <c r="C95" s="7">
        <f>INDEX(Sheet2!$B$2:$B$65,$B95+1)</f>
        <v>1163531501</v>
      </c>
      <c r="D95" s="7">
        <f>INDEX(Sheet2!$C$2:$C$65,$B95+1)</f>
        <v>20</v>
      </c>
      <c r="E95" s="7">
        <f>INDEX(Sheet2!$D$2:$D$65,$B95+1)</f>
        <v>8</v>
      </c>
      <c r="F95" s="7">
        <f>INDEX(Sheet3!$AY$2:$BN$11,$A95,$E95+1)</f>
        <v>0</v>
      </c>
      <c r="G95" s="7">
        <f>IF($B95&lt;16,_xlfn.BITOR(_xlfn.BITAND($K94,$L94),_xlfn.BITAND(4294967295-$K94,$M94)),IF($B95&lt;32,_xlfn.BITOR(_xlfn.BITAND($M94,$K94),_xlfn.BITAND(4294967295-$M94,$L94)),IF($B95&lt;48,_xlfn.BITXOR(_xlfn.BITXOR($K94,$L94),$M94),_xlfn.BITXOR($L94,_xlfn.BITOR($K94,4294967295-$M94)))))</f>
        <v>3347309318</v>
      </c>
      <c r="H95" s="7">
        <f>MOD($G95+$J94+$C95+$F95,4294967296)</f>
        <v>1705468585</v>
      </c>
      <c r="I95" s="7">
        <f>MOD($H95,2^(32-$D95))*2^$D95+INT($H95/2^(32-$D95))</f>
        <v>714496630</v>
      </c>
      <c r="J95" s="7">
        <f>$M94</f>
        <v>3310850804</v>
      </c>
      <c r="K95" s="7">
        <f>MOD($K94+$I95,4294967296)</f>
        <v>163709051</v>
      </c>
      <c r="L95" s="7">
        <f>$K94</f>
        <v>3744179717</v>
      </c>
      <c r="M95" s="7">
        <f>$L94</f>
        <v>2193813990</v>
      </c>
    </row>
    <row r="96" spans="1:13">
      <c r="A96" s="7">
        <v>2</v>
      </c>
      <c r="B96" s="7">
        <v>28</v>
      </c>
      <c r="C96" s="7">
        <f>INDEX(Sheet2!$B$2:$B$65,$B96+1)</f>
        <v>2850285829</v>
      </c>
      <c r="D96" s="7">
        <f>INDEX(Sheet2!$C$2:$C$65,$B96+1)</f>
        <v>5</v>
      </c>
      <c r="E96" s="7">
        <f>INDEX(Sheet2!$D$2:$D$65,$B96+1)</f>
        <v>13</v>
      </c>
      <c r="F96" s="7">
        <f>INDEX(Sheet3!$AY$2:$BN$11,$A96,$E96+1)</f>
        <v>0</v>
      </c>
      <c r="G96" s="7">
        <f>IF($B96&lt;16,_xlfn.BITOR(_xlfn.BITAND($K95,$L95),_xlfn.BITAND(4294967295-$K95,$M95)),IF($B96&lt;32,_xlfn.BITOR(_xlfn.BITAND($M95,$K95),_xlfn.BITAND(4294967295-$M95,$L95)),IF($B96&lt;48,_xlfn.BITXOR(_xlfn.BITXOR($K95,$L95),$M95),_xlfn.BITXOR($L95,_xlfn.BITOR($K95,4294967295-$M95)))))</f>
        <v>1575683683</v>
      </c>
      <c r="H96" s="7">
        <f>MOD($G96+$J95+$C96+$F96,4294967296)</f>
        <v>3441853020</v>
      </c>
      <c r="I96" s="7">
        <f>MOD($H96,2^(32-$D96))*2^$D96+INT($H96/2^(32-$D96))</f>
        <v>2765114265</v>
      </c>
      <c r="J96" s="7">
        <f>$M95</f>
        <v>2193813990</v>
      </c>
      <c r="K96" s="7">
        <f>MOD($K95+$I96,4294967296)</f>
        <v>2928823316</v>
      </c>
      <c r="L96" s="7">
        <f>$K95</f>
        <v>163709051</v>
      </c>
      <c r="M96" s="7">
        <f>$L95</f>
        <v>3744179717</v>
      </c>
    </row>
    <row r="97" spans="1:13">
      <c r="A97" s="7">
        <v>2</v>
      </c>
      <c r="B97" s="7">
        <v>29</v>
      </c>
      <c r="C97" s="7">
        <f>INDEX(Sheet2!$B$2:$B$65,$B97+1)</f>
        <v>4243563512</v>
      </c>
      <c r="D97" s="7">
        <f>INDEX(Sheet2!$C$2:$C$65,$B97+1)</f>
        <v>9</v>
      </c>
      <c r="E97" s="7">
        <f>INDEX(Sheet2!$D$2:$D$65,$B97+1)</f>
        <v>2</v>
      </c>
      <c r="F97" s="7">
        <f>INDEX(Sheet3!$AY$2:$BN$11,$A97,$E97+1)</f>
        <v>1601792820</v>
      </c>
      <c r="G97" s="7">
        <f>IF($B97&lt;16,_xlfn.BITOR(_xlfn.BITAND($K96,$L96),_xlfn.BITAND(4294967295-$K96,$M96)),IF($B97&lt;32,_xlfn.BITOR(_xlfn.BITAND($M96,$K96),_xlfn.BITAND(4294967295-$M96,$L96)),IF($B97&lt;48,_xlfn.BITXOR(_xlfn.BITXOR($K96,$L96),$M96),_xlfn.BITXOR($L96,_xlfn.BITOR($K96,4294967295-$M96)))))</f>
        <v>2395079806</v>
      </c>
      <c r="H97" s="7">
        <f>MOD($G97+$J96+$C97+$F97,4294967296)</f>
        <v>1844315536</v>
      </c>
      <c r="I97" s="7">
        <f>MOD($H97,2^(32-$D97))*2^$D97+INT($H97/2^(32-$D97))</f>
        <v>3691716827</v>
      </c>
      <c r="J97" s="7">
        <f>$M96</f>
        <v>3744179717</v>
      </c>
      <c r="K97" s="7">
        <f>MOD($K96+$I97,4294967296)</f>
        <v>2325572847</v>
      </c>
      <c r="L97" s="7">
        <f>$K96</f>
        <v>2928823316</v>
      </c>
      <c r="M97" s="7">
        <f>$L96</f>
        <v>163709051</v>
      </c>
    </row>
    <row r="98" spans="1:13">
      <c r="A98" s="7">
        <v>2</v>
      </c>
      <c r="B98" s="7">
        <v>30</v>
      </c>
      <c r="C98" s="7">
        <f>INDEX(Sheet2!$B$2:$B$65,$B98+1)</f>
        <v>1735328473</v>
      </c>
      <c r="D98" s="7">
        <f>INDEX(Sheet2!$C$2:$C$65,$B98+1)</f>
        <v>14</v>
      </c>
      <c r="E98" s="7">
        <f>INDEX(Sheet2!$D$2:$D$65,$B98+1)</f>
        <v>7</v>
      </c>
      <c r="F98" s="7">
        <f>INDEX(Sheet3!$AY$2:$BN$11,$A98,$E98+1)</f>
        <v>0</v>
      </c>
      <c r="G98" s="7">
        <f>IF($B98&lt;16,_xlfn.BITOR(_xlfn.BITAND($K97,$L97),_xlfn.BITAND(4294967295-$K97,$M97)),IF($B98&lt;32,_xlfn.BITOR(_xlfn.BITAND($M97,$K97),_xlfn.BITAND(4294967295-$M97,$L97)),IF($B98&lt;48,_xlfn.BITXOR(_xlfn.BITXOR($K97,$L97),$M97),_xlfn.BITXOR($L97,_xlfn.BITOR($K97,4294967295-$M97)))))</f>
        <v>2928692335</v>
      </c>
      <c r="H98" s="7">
        <f>MOD($G98+$J97+$C98+$F98,4294967296)</f>
        <v>4113233229</v>
      </c>
      <c r="I98" s="7">
        <f>MOD($H98,2^(32-$D98))*2^$D98+INT($H98/2^(32-$D98))</f>
        <v>3176365386</v>
      </c>
      <c r="J98" s="7">
        <f>$M97</f>
        <v>163709051</v>
      </c>
      <c r="K98" s="7">
        <f>MOD($K97+$I98,4294967296)</f>
        <v>1206970937</v>
      </c>
      <c r="L98" s="7">
        <f>$K97</f>
        <v>2325572847</v>
      </c>
      <c r="M98" s="7">
        <f>$L97</f>
        <v>2928823316</v>
      </c>
    </row>
    <row r="99" spans="1:13">
      <c r="A99" s="7">
        <v>2</v>
      </c>
      <c r="B99" s="7">
        <v>31</v>
      </c>
      <c r="C99" s="7">
        <f>INDEX(Sheet2!$B$2:$B$65,$B99+1)</f>
        <v>2368359562</v>
      </c>
      <c r="D99" s="7">
        <f>INDEX(Sheet2!$C$2:$C$65,$B99+1)</f>
        <v>20</v>
      </c>
      <c r="E99" s="7">
        <f>INDEX(Sheet2!$D$2:$D$65,$B99+1)</f>
        <v>12</v>
      </c>
      <c r="F99" s="7">
        <f>INDEX(Sheet3!$AY$2:$BN$11,$A99,$E99+1)</f>
        <v>0</v>
      </c>
      <c r="G99" s="7">
        <f>IF($B99&lt;16,_xlfn.BITOR(_xlfn.BITAND($K98,$L98),_xlfn.BITAND(4294967295-$K98,$M98)),IF($B99&lt;32,_xlfn.BITOR(_xlfn.BITAND($M98,$K98),_xlfn.BITAND(4294967295-$M98,$L98)),IF($B99&lt;48,_xlfn.BITXOR(_xlfn.BITXOR($K98,$L98),$M98),_xlfn.BITXOR($L98,_xlfn.BITOR($K98,4294967295-$M98)))))</f>
        <v>110979323</v>
      </c>
      <c r="H99" s="7">
        <f>MOD($G99+$J98+$C99+$F99,4294967296)</f>
        <v>2643047936</v>
      </c>
      <c r="I99" s="7">
        <f>MOD($H99,2^(32-$D99))*2^$D99+INT($H99/2^(32-$D99))</f>
        <v>1611258011</v>
      </c>
      <c r="J99" s="7">
        <f>$M98</f>
        <v>2928823316</v>
      </c>
      <c r="K99" s="7">
        <f>MOD($K98+$I99,4294967296)</f>
        <v>2818228948</v>
      </c>
      <c r="L99" s="7">
        <f>$K98</f>
        <v>1206970937</v>
      </c>
      <c r="M99" s="7">
        <f>$L98</f>
        <v>2325572847</v>
      </c>
    </row>
    <row r="100" spans="1:13">
      <c r="A100" s="7">
        <v>2</v>
      </c>
      <c r="B100" s="7">
        <v>32</v>
      </c>
      <c r="C100" s="7">
        <f>INDEX(Sheet2!$B$2:$B$65,$B100+1)</f>
        <v>4294588738</v>
      </c>
      <c r="D100" s="7">
        <f>INDEX(Sheet2!$C$2:$C$65,$B100+1)</f>
        <v>4</v>
      </c>
      <c r="E100" s="7">
        <f>INDEX(Sheet2!$D$2:$D$65,$B100+1)</f>
        <v>5</v>
      </c>
      <c r="F100" s="7">
        <f>INDEX(Sheet3!$AY$2:$BN$11,$A100,$E100+1)</f>
        <v>0</v>
      </c>
      <c r="G100" s="7">
        <f>IF($B100&lt;16,_xlfn.BITOR(_xlfn.BITAND($K99,$L99),_xlfn.BITAND(4294967295-$K99,$M99)),IF($B100&lt;32,_xlfn.BITOR(_xlfn.BITAND($M99,$K99),_xlfn.BITAND(4294967295-$M99,$L99)),IF($B100&lt;48,_xlfn.BITXOR(_xlfn.BITXOR($K99,$L99),$M99),_xlfn.BITXOR($L99,_xlfn.BITOR($K99,4294967295-$M99)))))</f>
        <v>1788298242</v>
      </c>
      <c r="H100" s="7">
        <f>MOD($G100+$J99+$C100+$F100,4294967296)</f>
        <v>421775704</v>
      </c>
      <c r="I100" s="7">
        <f>MOD($H100,2^(32-$D100))*2^$D100+INT($H100/2^(32-$D100))</f>
        <v>2453443969</v>
      </c>
      <c r="J100" s="7">
        <f>$M99</f>
        <v>2325572847</v>
      </c>
      <c r="K100" s="7">
        <f>MOD($K99+$I100,4294967296)</f>
        <v>976705621</v>
      </c>
      <c r="L100" s="7">
        <f>$K99</f>
        <v>2818228948</v>
      </c>
      <c r="M100" s="7">
        <f>$L99</f>
        <v>1206970937</v>
      </c>
    </row>
    <row r="101" spans="1:13">
      <c r="A101" s="7">
        <v>2</v>
      </c>
      <c r="B101" s="7">
        <v>33</v>
      </c>
      <c r="C101" s="7">
        <f>INDEX(Sheet2!$B$2:$B$65,$B101+1)</f>
        <v>2272392833</v>
      </c>
      <c r="D101" s="7">
        <f>INDEX(Sheet2!$C$2:$C$65,$B101+1)</f>
        <v>11</v>
      </c>
      <c r="E101" s="7">
        <f>INDEX(Sheet2!$D$2:$D$65,$B101+1)</f>
        <v>8</v>
      </c>
      <c r="F101" s="7">
        <f>INDEX(Sheet3!$AY$2:$BN$11,$A101,$E101+1)</f>
        <v>0</v>
      </c>
      <c r="G101" s="7">
        <f>IF($B101&lt;16,_xlfn.BITOR(_xlfn.BITAND($K100,$L100),_xlfn.BITAND(4294967295-$K100,$M100)),IF($B101&lt;32,_xlfn.BITOR(_xlfn.BITAND($M100,$K100),_xlfn.BITAND(4294967295-$M100,$L100)),IF($B101&lt;48,_xlfn.BITXOR(_xlfn.BITXOR($K100,$L100),$M100),_xlfn.BITXOR($L100,_xlfn.BITOR($K100,4294967295-$M100)))))</f>
        <v>3661459640</v>
      </c>
      <c r="H101" s="7">
        <f>MOD($G101+$J100+$C101+$F101,4294967296)</f>
        <v>3964458024</v>
      </c>
      <c r="I101" s="7">
        <f>MOD($H101,2^(32-$D101))*2^$D101+INT($H101/2^(32-$D101))</f>
        <v>1721845602</v>
      </c>
      <c r="J101" s="7">
        <f>$M100</f>
        <v>1206970937</v>
      </c>
      <c r="K101" s="7">
        <f>MOD($K100+$I101,4294967296)</f>
        <v>2698551223</v>
      </c>
      <c r="L101" s="7">
        <f>$K100</f>
        <v>976705621</v>
      </c>
      <c r="M101" s="7">
        <f>$L100</f>
        <v>2818228948</v>
      </c>
    </row>
    <row r="102" spans="1:13">
      <c r="A102" s="7">
        <v>2</v>
      </c>
      <c r="B102" s="7">
        <v>34</v>
      </c>
      <c r="C102" s="7">
        <f>INDEX(Sheet2!$B$2:$B$65,$B102+1)</f>
        <v>1839030562</v>
      </c>
      <c r="D102" s="7">
        <f>INDEX(Sheet2!$C$2:$C$65,$B102+1)</f>
        <v>16</v>
      </c>
      <c r="E102" s="7">
        <f>INDEX(Sheet2!$D$2:$D$65,$B102+1)</f>
        <v>11</v>
      </c>
      <c r="F102" s="7">
        <f>INDEX(Sheet3!$AY$2:$BN$11,$A102,$E102+1)</f>
        <v>0</v>
      </c>
      <c r="G102" s="7">
        <f>IF($B102&lt;16,_xlfn.BITOR(_xlfn.BITAND($K101,$L101),_xlfn.BITAND(4294967295-$K101,$M101)),IF($B102&lt;32,_xlfn.BITOR(_xlfn.BITAND($M101,$K101),_xlfn.BITAND(4294967295-$M101,$L101)),IF($B102&lt;48,_xlfn.BITXOR(_xlfn.BITXOR($K101,$L101),$M101),_xlfn.BITXOR($L101,_xlfn.BITOR($K101,4294967295-$M101)))))</f>
        <v>1024787766</v>
      </c>
      <c r="H102" s="7">
        <f>MOD($G102+$J101+$C102+$F102,4294967296)</f>
        <v>4070789265</v>
      </c>
      <c r="I102" s="7">
        <f>MOD($H102,2^(32-$D102))*2^$D102+INT($H102/2^(32-$D102))</f>
        <v>1351742115</v>
      </c>
      <c r="J102" s="7">
        <f>$M101</f>
        <v>2818228948</v>
      </c>
      <c r="K102" s="7">
        <f>MOD($K101+$I102,4294967296)</f>
        <v>4050293338</v>
      </c>
      <c r="L102" s="7">
        <f>$K101</f>
        <v>2698551223</v>
      </c>
      <c r="M102" s="7">
        <f>$L101</f>
        <v>976705621</v>
      </c>
    </row>
    <row r="103" spans="1:13">
      <c r="A103" s="7">
        <v>2</v>
      </c>
      <c r="B103" s="7">
        <v>35</v>
      </c>
      <c r="C103" s="7">
        <f>INDEX(Sheet2!$B$2:$B$65,$B103+1)</f>
        <v>4259657740</v>
      </c>
      <c r="D103" s="7">
        <f>INDEX(Sheet2!$C$2:$C$65,$B103+1)</f>
        <v>23</v>
      </c>
      <c r="E103" s="7">
        <f>INDEX(Sheet2!$D$2:$D$65,$B103+1)</f>
        <v>14</v>
      </c>
      <c r="F103" s="7">
        <f>INDEX(Sheet3!$AY$2:$BN$11,$A103,$E103+1)</f>
        <v>152</v>
      </c>
      <c r="G103" s="7">
        <f>IF($B103&lt;16,_xlfn.BITOR(_xlfn.BITAND($K102,$L102),_xlfn.BITAND(4294967295-$K102,$M102)),IF($B103&lt;32,_xlfn.BITOR(_xlfn.BITAND($M102,$K102),_xlfn.BITAND(4294967295-$M102,$L102)),IF($B103&lt;48,_xlfn.BITXOR(_xlfn.BITXOR($K102,$L102),$M102),_xlfn.BITXOR($L102,_xlfn.BITOR($K102,4294967295-$M102)))))</f>
        <v>1803900344</v>
      </c>
      <c r="H103" s="7">
        <f>MOD($G103+$J102+$C103+$F103,4294967296)</f>
        <v>291852592</v>
      </c>
      <c r="I103" s="7">
        <f>MOD($H103,2^(32-$D103))*2^$D103+INT($H103/2^(32-$D103))</f>
        <v>2550706856</v>
      </c>
      <c r="J103" s="7">
        <f>$M102</f>
        <v>976705621</v>
      </c>
      <c r="K103" s="7">
        <f>MOD($K102+$I103,4294967296)</f>
        <v>2306032898</v>
      </c>
      <c r="L103" s="7">
        <f>$K102</f>
        <v>4050293338</v>
      </c>
      <c r="M103" s="7">
        <f>$L102</f>
        <v>2698551223</v>
      </c>
    </row>
    <row r="104" spans="1:13">
      <c r="A104" s="7">
        <v>2</v>
      </c>
      <c r="B104" s="7">
        <v>36</v>
      </c>
      <c r="C104" s="7">
        <f>INDEX(Sheet2!$B$2:$B$65,$B104+1)</f>
        <v>2763975236</v>
      </c>
      <c r="D104" s="7">
        <f>INDEX(Sheet2!$C$2:$C$65,$B104+1)</f>
        <v>4</v>
      </c>
      <c r="E104" s="7">
        <f>INDEX(Sheet2!$D$2:$D$65,$B104+1)</f>
        <v>1</v>
      </c>
      <c r="F104" s="7">
        <f>INDEX(Sheet3!$AY$2:$BN$11,$A104,$E104+1)</f>
        <v>862876511</v>
      </c>
      <c r="G104" s="7">
        <f>IF($B104&lt;16,_xlfn.BITOR(_xlfn.BITAND($K103,$L103),_xlfn.BITAND(4294967295-$K103,$M103)),IF($B104&lt;32,_xlfn.BITOR(_xlfn.BITAND($M103,$K103),_xlfn.BITAND(4294967295-$M103,$L103)),IF($B104&lt;48,_xlfn.BITXOR(_xlfn.BITXOR($K103,$L103),$M103),_xlfn.BITXOR($L103,_xlfn.BITOR($K103,4294967295-$M103)))))</f>
        <v>3636545775</v>
      </c>
      <c r="H104" s="7">
        <f>MOD($G104+$J103+$C104+$F104,4294967296)</f>
        <v>3945135847</v>
      </c>
      <c r="I104" s="7">
        <f>MOD($H104,2^(32-$D104))*2^$D104+INT($H104/2^(32-$D104))</f>
        <v>2992631422</v>
      </c>
      <c r="J104" s="7">
        <f>$M103</f>
        <v>2698551223</v>
      </c>
      <c r="K104" s="7">
        <f>MOD($K103+$I104,4294967296)</f>
        <v>1003697024</v>
      </c>
      <c r="L104" s="7">
        <f>$K103</f>
        <v>2306032898</v>
      </c>
      <c r="M104" s="7">
        <f>$L103</f>
        <v>4050293338</v>
      </c>
    </row>
    <row r="105" spans="1:13">
      <c r="A105" s="7">
        <v>2</v>
      </c>
      <c r="B105" s="7">
        <v>37</v>
      </c>
      <c r="C105" s="7">
        <f>INDEX(Sheet2!$B$2:$B$65,$B105+1)</f>
        <v>1272893353</v>
      </c>
      <c r="D105" s="7">
        <f>INDEX(Sheet2!$C$2:$C$65,$B105+1)</f>
        <v>11</v>
      </c>
      <c r="E105" s="7">
        <f>INDEX(Sheet2!$D$2:$D$65,$B105+1)</f>
        <v>4</v>
      </c>
      <c r="F105" s="7">
        <f>INDEX(Sheet3!$AY$2:$BN$11,$A105,$E105+1)</f>
        <v>2151628607</v>
      </c>
      <c r="G105" s="7">
        <f>IF($B105&lt;16,_xlfn.BITOR(_xlfn.BITAND($K104,$L104),_xlfn.BITAND(4294967295-$K104,$M104)),IF($B105&lt;32,_xlfn.BITOR(_xlfn.BITAND($M104,$K104),_xlfn.BITAND(4294967295-$M104,$L104)),IF($B105&lt;48,_xlfn.BITXOR(_xlfn.BITXOR($K104,$L104),$M104),_xlfn.BITXOR($L104,_xlfn.BITOR($K104,4294967295-$M104)))))</f>
        <v>1137370328</v>
      </c>
      <c r="H105" s="7">
        <f>MOD($G105+$J104+$C105+$F105,4294967296)</f>
        <v>2965476215</v>
      </c>
      <c r="I105" s="7">
        <f>MOD($H105,2^(32-$D105))*2^$D105+INT($H105/2^(32-$D105))</f>
        <v>211533190</v>
      </c>
      <c r="J105" s="7">
        <f>$M104</f>
        <v>4050293338</v>
      </c>
      <c r="K105" s="7">
        <f>MOD($K104+$I105,4294967296)</f>
        <v>1215230214</v>
      </c>
      <c r="L105" s="7">
        <f>$K104</f>
        <v>1003697024</v>
      </c>
      <c r="M105" s="7">
        <f>$L104</f>
        <v>2306032898</v>
      </c>
    </row>
    <row r="106" spans="1:13">
      <c r="A106" s="7">
        <v>2</v>
      </c>
      <c r="B106" s="7">
        <v>38</v>
      </c>
      <c r="C106" s="7">
        <f>INDEX(Sheet2!$B$2:$B$65,$B106+1)</f>
        <v>4139469664</v>
      </c>
      <c r="D106" s="7">
        <f>INDEX(Sheet2!$C$2:$C$65,$B106+1)</f>
        <v>16</v>
      </c>
      <c r="E106" s="7">
        <f>INDEX(Sheet2!$D$2:$D$65,$B106+1)</f>
        <v>7</v>
      </c>
      <c r="F106" s="7">
        <f>INDEX(Sheet3!$AY$2:$BN$11,$A106,$E106+1)</f>
        <v>0</v>
      </c>
      <c r="G106" s="7">
        <f>IF($B106&lt;16,_xlfn.BITOR(_xlfn.BITAND($K105,$L105),_xlfn.BITAND(4294967295-$K105,$M105)),IF($B106&lt;32,_xlfn.BITOR(_xlfn.BITAND($M105,$K105),_xlfn.BITAND(4294967295-$M105,$L105)),IF($B106&lt;48,_xlfn.BITXOR(_xlfn.BITXOR($K105,$L105),$M105),_xlfn.BITXOR($L105,_xlfn.BITOR($K105,4294967295-$M105)))))</f>
        <v>4207839108</v>
      </c>
      <c r="H106" s="7">
        <f>MOD($G106+$J105+$C106+$F106,4294967296)</f>
        <v>3807667518</v>
      </c>
      <c r="I106" s="7">
        <f>MOD($H106,2^(32-$D106))*2^$D106+INT($H106/2^(32-$D106))</f>
        <v>1698620148</v>
      </c>
      <c r="J106" s="7">
        <f>$M105</f>
        <v>2306032898</v>
      </c>
      <c r="K106" s="7">
        <f>MOD($K105+$I106,4294967296)</f>
        <v>2913850362</v>
      </c>
      <c r="L106" s="7">
        <f>$K105</f>
        <v>1215230214</v>
      </c>
      <c r="M106" s="7">
        <f>$L105</f>
        <v>1003697024</v>
      </c>
    </row>
    <row r="107" spans="1:13">
      <c r="A107" s="7">
        <v>2</v>
      </c>
      <c r="B107" s="7">
        <v>39</v>
      </c>
      <c r="C107" s="7">
        <f>INDEX(Sheet2!$B$2:$B$65,$B107+1)</f>
        <v>3200236656</v>
      </c>
      <c r="D107" s="7">
        <f>INDEX(Sheet2!$C$2:$C$65,$B107+1)</f>
        <v>23</v>
      </c>
      <c r="E107" s="7">
        <f>INDEX(Sheet2!$D$2:$D$65,$B107+1)</f>
        <v>10</v>
      </c>
      <c r="F107" s="7">
        <f>INDEX(Sheet3!$AY$2:$BN$11,$A107,$E107+1)</f>
        <v>0</v>
      </c>
      <c r="G107" s="7">
        <f>IF($B107&lt;16,_xlfn.BITOR(_xlfn.BITAND($K106,$L106),_xlfn.BITAND(4294967295-$K106,$M106)),IF($B107&lt;32,_xlfn.BITOR(_xlfn.BITAND($M106,$K106),_xlfn.BITAND(4294967295-$M106,$L106)),IF($B107&lt;48,_xlfn.BITXOR(_xlfn.BITXOR($K106,$L106),$M106),_xlfn.BITXOR($L106,_xlfn.BITOR($K106,4294967295-$M106)))))</f>
        <v>3725595004</v>
      </c>
      <c r="H107" s="7">
        <f>MOD($G107+$J106+$C107+$F107,4294967296)</f>
        <v>641929966</v>
      </c>
      <c r="I107" s="7">
        <f>MOD($H107,2^(32-$D107))*2^$D107+INT($H107/2^(32-$D107))</f>
        <v>1997742473</v>
      </c>
      <c r="J107" s="7">
        <f>$M106</f>
        <v>1003697024</v>
      </c>
      <c r="K107" s="7">
        <f>MOD($K106+$I107,4294967296)</f>
        <v>616625539</v>
      </c>
      <c r="L107" s="7">
        <f>$K106</f>
        <v>2913850362</v>
      </c>
      <c r="M107" s="7">
        <f>$L106</f>
        <v>1215230214</v>
      </c>
    </row>
    <row r="108" spans="1:13">
      <c r="A108" s="7">
        <v>2</v>
      </c>
      <c r="B108" s="7">
        <v>40</v>
      </c>
      <c r="C108" s="7">
        <f>INDEX(Sheet2!$B$2:$B$65,$B108+1)</f>
        <v>681279174</v>
      </c>
      <c r="D108" s="7">
        <f>INDEX(Sheet2!$C$2:$C$65,$B108+1)</f>
        <v>4</v>
      </c>
      <c r="E108" s="7">
        <f>INDEX(Sheet2!$D$2:$D$65,$B108+1)</f>
        <v>13</v>
      </c>
      <c r="F108" s="7">
        <f>INDEX(Sheet3!$AY$2:$BN$11,$A108,$E108+1)</f>
        <v>0</v>
      </c>
      <c r="G108" s="7">
        <f>IF($B108&lt;16,_xlfn.BITOR(_xlfn.BITAND($K107,$L107),_xlfn.BITAND(4294967295-$K107,$M107)),IF($B108&lt;32,_xlfn.BITOR(_xlfn.BITAND($M107,$K107),_xlfn.BITAND(4294967295-$M107,$L107)),IF($B108&lt;48,_xlfn.BITXOR(_xlfn.BITXOR($K107,$L107),$M107),_xlfn.BITXOR($L107,_xlfn.BITOR($K107,4294967295-$M107)))))</f>
        <v>3238254463</v>
      </c>
      <c r="H108" s="7">
        <f>MOD($G108+$J107+$C108+$F108,4294967296)</f>
        <v>628263365</v>
      </c>
      <c r="I108" s="7">
        <f>MOD($H108,2^(32-$D108))*2^$D108+INT($H108/2^(32-$D108))</f>
        <v>1462279250</v>
      </c>
      <c r="J108" s="7">
        <f>$M107</f>
        <v>1215230214</v>
      </c>
      <c r="K108" s="7">
        <f>MOD($K107+$I108,4294967296)</f>
        <v>2078904789</v>
      </c>
      <c r="L108" s="7">
        <f>$K107</f>
        <v>616625539</v>
      </c>
      <c r="M108" s="7">
        <f>$L107</f>
        <v>2913850362</v>
      </c>
    </row>
    <row r="109" spans="1:13">
      <c r="A109" s="7">
        <v>2</v>
      </c>
      <c r="B109" s="7">
        <v>41</v>
      </c>
      <c r="C109" s="7">
        <f>INDEX(Sheet2!$B$2:$B$65,$B109+1)</f>
        <v>3936430074</v>
      </c>
      <c r="D109" s="7">
        <f>INDEX(Sheet2!$C$2:$C$65,$B109+1)</f>
        <v>11</v>
      </c>
      <c r="E109" s="7">
        <f>INDEX(Sheet2!$D$2:$D$65,$B109+1)</f>
        <v>0</v>
      </c>
      <c r="F109" s="7">
        <f>INDEX(Sheet3!$AY$2:$BN$11,$A109,$E109+1)</f>
        <v>1701654643</v>
      </c>
      <c r="G109" s="7">
        <f>IF($B109&lt;16,_xlfn.BITOR(_xlfn.BITAND($K108,$L108),_xlfn.BITAND(4294967295-$K108,$M108)),IF($B109&lt;32,_xlfn.BITOR(_xlfn.BITAND($M108,$K108),_xlfn.BITAND(4294967295-$M108,$L108)),IF($B109&lt;48,_xlfn.BITXOR(_xlfn.BITXOR($K108,$L108),$M108),_xlfn.BITXOR($L108,_xlfn.BITOR($K108,4294967295-$M108)))))</f>
        <v>4068784044</v>
      </c>
      <c r="H109" s="7">
        <f>MOD($G109+$J108+$C109+$F109,4294967296)</f>
        <v>2332164383</v>
      </c>
      <c r="I109" s="7">
        <f>MOD($H109,2^(32-$D109))*2^$D109+INT($H109/2^(32-$D109))</f>
        <v>269024344</v>
      </c>
      <c r="J109" s="7">
        <f>$M108</f>
        <v>2913850362</v>
      </c>
      <c r="K109" s="7">
        <f>MOD($K108+$I109,4294967296)</f>
        <v>2347929133</v>
      </c>
      <c r="L109" s="7">
        <f>$K108</f>
        <v>2078904789</v>
      </c>
      <c r="M109" s="7">
        <f>$L108</f>
        <v>616625539</v>
      </c>
    </row>
    <row r="110" spans="1:13">
      <c r="A110" s="7">
        <v>2</v>
      </c>
      <c r="B110" s="7">
        <v>42</v>
      </c>
      <c r="C110" s="7">
        <f>INDEX(Sheet2!$B$2:$B$65,$B110+1)</f>
        <v>3572445317</v>
      </c>
      <c r="D110" s="7">
        <f>INDEX(Sheet2!$C$2:$C$65,$B110+1)</f>
        <v>16</v>
      </c>
      <c r="E110" s="7">
        <f>INDEX(Sheet2!$D$2:$D$65,$B110+1)</f>
        <v>3</v>
      </c>
      <c r="F110" s="7">
        <f>INDEX(Sheet3!$AY$2:$BN$11,$A110,$E110+1)</f>
        <v>1953248371</v>
      </c>
      <c r="G110" s="7">
        <f>IF($B110&lt;16,_xlfn.BITOR(_xlfn.BITAND($K109,$L109),_xlfn.BITAND(4294967295-$K109,$M109)),IF($B110&lt;32,_xlfn.BITOR(_xlfn.BITAND($M109,$K109),_xlfn.BITAND(4294967295-$M109,$L109)),IF($B110&lt;48,_xlfn.BITXOR(_xlfn.BITXOR($K109,$L109),$M109),_xlfn.BITXOR($L109,_xlfn.BITOR($K109,4294967295-$M109)))))</f>
        <v>3571182203</v>
      </c>
      <c r="H110" s="7">
        <f>MOD($G110+$J109+$C110+$F110,4294967296)</f>
        <v>3420791661</v>
      </c>
      <c r="I110" s="7">
        <f>MOD($H110,2^(32-$D110))*2^$D110+INT($H110/2^(32-$D110))</f>
        <v>594398181</v>
      </c>
      <c r="J110" s="7">
        <f>$M109</f>
        <v>616625539</v>
      </c>
      <c r="K110" s="7">
        <f>MOD($K109+$I110,4294967296)</f>
        <v>2942327314</v>
      </c>
      <c r="L110" s="7">
        <f>$K109</f>
        <v>2347929133</v>
      </c>
      <c r="M110" s="7">
        <f>$L109</f>
        <v>2078904789</v>
      </c>
    </row>
    <row r="111" spans="1:13">
      <c r="A111" s="7">
        <v>2</v>
      </c>
      <c r="B111" s="7">
        <v>43</v>
      </c>
      <c r="C111" s="7">
        <f>INDEX(Sheet2!$B$2:$B$65,$B111+1)</f>
        <v>76029189</v>
      </c>
      <c r="D111" s="7">
        <f>INDEX(Sheet2!$C$2:$C$65,$B111+1)</f>
        <v>23</v>
      </c>
      <c r="E111" s="7">
        <f>INDEX(Sheet2!$D$2:$D$65,$B111+1)</f>
        <v>6</v>
      </c>
      <c r="F111" s="7">
        <f>INDEX(Sheet3!$AY$2:$BN$11,$A111,$E111+1)</f>
        <v>0</v>
      </c>
      <c r="G111" s="7">
        <f>IF($B111&lt;16,_xlfn.BITOR(_xlfn.BITAND($K110,$L110),_xlfn.BITAND(4294967295-$K110,$M110)),IF($B111&lt;32,_xlfn.BITOR(_xlfn.BITAND($M110,$K110),_xlfn.BITAND(4294967295-$M110,$L110)),IF($B111&lt;48,_xlfn.BITXOR(_xlfn.BITXOR($K110,$L110),$M110),_xlfn.BITXOR($L110,_xlfn.BITOR($K110,4294967295-$M110)))))</f>
        <v>1601914346</v>
      </c>
      <c r="H111" s="7">
        <f>MOD($G111+$J110+$C111+$F111,4294967296)</f>
        <v>2294569074</v>
      </c>
      <c r="I111" s="7">
        <f>MOD($H111,2^(32-$D111))*2^$D111+INT($H111/2^(32-$D111))</f>
        <v>960782892</v>
      </c>
      <c r="J111" s="7">
        <f>$M110</f>
        <v>2078904789</v>
      </c>
      <c r="K111" s="7">
        <f>MOD($K110+$I111,4294967296)</f>
        <v>3903110206</v>
      </c>
      <c r="L111" s="7">
        <f>$K110</f>
        <v>2942327314</v>
      </c>
      <c r="M111" s="7">
        <f>$L110</f>
        <v>2347929133</v>
      </c>
    </row>
    <row r="112" spans="1:13">
      <c r="A112" s="7">
        <v>2</v>
      </c>
      <c r="B112" s="7">
        <v>44</v>
      </c>
      <c r="C112" s="7">
        <f>INDEX(Sheet2!$B$2:$B$65,$B112+1)</f>
        <v>3654602809</v>
      </c>
      <c r="D112" s="7">
        <f>INDEX(Sheet2!$C$2:$C$65,$B112+1)</f>
        <v>4</v>
      </c>
      <c r="E112" s="7">
        <f>INDEX(Sheet2!$D$2:$D$65,$B112+1)</f>
        <v>9</v>
      </c>
      <c r="F112" s="7">
        <f>INDEX(Sheet3!$AY$2:$BN$11,$A112,$E112+1)</f>
        <v>0</v>
      </c>
      <c r="G112" s="7">
        <f>IF($B112&lt;16,_xlfn.BITOR(_xlfn.BITAND($K111,$L111),_xlfn.BITAND(4294967295-$K111,$M111)),IF($B112&lt;32,_xlfn.BITOR(_xlfn.BITAND($M111,$K111),_xlfn.BITAND(4294967295-$M111,$L111)),IF($B112&lt;48,_xlfn.BITXOR(_xlfn.BITXOR($K111,$L111),$M111),_xlfn.BITXOR($L111,_xlfn.BITOR($K111,4294967295-$M111)))))</f>
        <v>3426117633</v>
      </c>
      <c r="H112" s="7">
        <f>MOD($G112+$J111+$C112+$F112,4294967296)</f>
        <v>569690639</v>
      </c>
      <c r="I112" s="7">
        <f>MOD($H112,2^(32-$D112))*2^$D112+INT($H112/2^(32-$D112))</f>
        <v>525115634</v>
      </c>
      <c r="J112" s="7">
        <f>$M111</f>
        <v>2347929133</v>
      </c>
      <c r="K112" s="7">
        <f>MOD($K111+$I112,4294967296)</f>
        <v>133258544</v>
      </c>
      <c r="L112" s="7">
        <f>$K111</f>
        <v>3903110206</v>
      </c>
      <c r="M112" s="7">
        <f>$L111</f>
        <v>2942327314</v>
      </c>
    </row>
    <row r="113" spans="1:13">
      <c r="A113" s="7">
        <v>2</v>
      </c>
      <c r="B113" s="7">
        <v>45</v>
      </c>
      <c r="C113" s="7">
        <f>INDEX(Sheet2!$B$2:$B$65,$B113+1)</f>
        <v>3873151461</v>
      </c>
      <c r="D113" s="7">
        <f>INDEX(Sheet2!$C$2:$C$65,$B113+1)</f>
        <v>11</v>
      </c>
      <c r="E113" s="7">
        <f>INDEX(Sheet2!$D$2:$D$65,$B113+1)</f>
        <v>12</v>
      </c>
      <c r="F113" s="7">
        <f>INDEX(Sheet3!$AY$2:$BN$11,$A113,$E113+1)</f>
        <v>0</v>
      </c>
      <c r="G113" s="7">
        <f>IF($B113&lt;16,_xlfn.BITOR(_xlfn.BITAND($K112,$L112),_xlfn.BITAND(4294967295-$K112,$M112)),IF($B113&lt;32,_xlfn.BITOR(_xlfn.BITAND($M112,$K112),_xlfn.BITAND(4294967295-$M112,$L112)),IF($B113&lt;48,_xlfn.BITXOR(_xlfn.BITXOR($K112,$L112),$M112),_xlfn.BITXOR($L112,_xlfn.BITOR($K112,4294967295-$M112)))))</f>
        <v>1077263132</v>
      </c>
      <c r="H113" s="7">
        <f>MOD($G113+$J112+$C113+$F113,4294967296)</f>
        <v>3003376430</v>
      </c>
      <c r="I113" s="7">
        <f>MOD($H113,2^(32-$D113))*2^$D113+INT($H113/2^(32-$D113))</f>
        <v>521762200</v>
      </c>
      <c r="J113" s="7">
        <f>$M112</f>
        <v>2942327314</v>
      </c>
      <c r="K113" s="7">
        <f>MOD($K112+$I113,4294967296)</f>
        <v>655020744</v>
      </c>
      <c r="L113" s="7">
        <f>$K112</f>
        <v>133258544</v>
      </c>
      <c r="M113" s="7">
        <f>$L112</f>
        <v>3903110206</v>
      </c>
    </row>
    <row r="114" spans="1:13">
      <c r="A114" s="7">
        <v>2</v>
      </c>
      <c r="B114" s="7">
        <v>46</v>
      </c>
      <c r="C114" s="7">
        <f>INDEX(Sheet2!$B$2:$B$65,$B114+1)</f>
        <v>530742520</v>
      </c>
      <c r="D114" s="7">
        <f>INDEX(Sheet2!$C$2:$C$65,$B114+1)</f>
        <v>16</v>
      </c>
      <c r="E114" s="7">
        <f>INDEX(Sheet2!$D$2:$D$65,$B114+1)</f>
        <v>15</v>
      </c>
      <c r="F114" s="7">
        <f>INDEX(Sheet3!$AY$2:$BN$11,$A114,$E114+1)</f>
        <v>0</v>
      </c>
      <c r="G114" s="7">
        <f>IF($B114&lt;16,_xlfn.BITOR(_xlfn.BITAND($K113,$L113),_xlfn.BITAND(4294967295-$K113,$M113)),IF($B114&lt;32,_xlfn.BITOR(_xlfn.BITAND($M113,$K113),_xlfn.BITAND(4294967295-$M113,$L113)),IF($B114&lt;48,_xlfn.BITXOR(_xlfn.BITXOR($K113,$L113),$M113),_xlfn.BITXOR($L113,_xlfn.BITOR($K113,4294967295-$M113)))))</f>
        <v>3361682374</v>
      </c>
      <c r="H114" s="7">
        <f>MOD($G114+$J113+$C114+$F114,4294967296)</f>
        <v>2539784912</v>
      </c>
      <c r="I114" s="7">
        <f>MOD($H114,2^(32-$D114))*2^$D114+INT($H114/2^(32-$D114))</f>
        <v>181442402</v>
      </c>
      <c r="J114" s="7">
        <f>$M113</f>
        <v>3903110206</v>
      </c>
      <c r="K114" s="7">
        <f>MOD($K113+$I114,4294967296)</f>
        <v>836463146</v>
      </c>
      <c r="L114" s="7">
        <f>$K113</f>
        <v>655020744</v>
      </c>
      <c r="M114" s="7">
        <f>$L113</f>
        <v>133258544</v>
      </c>
    </row>
    <row r="115" spans="1:13">
      <c r="A115" s="7">
        <v>2</v>
      </c>
      <c r="B115" s="7">
        <v>47</v>
      </c>
      <c r="C115" s="7">
        <f>INDEX(Sheet2!$B$2:$B$65,$B115+1)</f>
        <v>3299628645</v>
      </c>
      <c r="D115" s="7">
        <f>INDEX(Sheet2!$C$2:$C$65,$B115+1)</f>
        <v>23</v>
      </c>
      <c r="E115" s="7">
        <f>INDEX(Sheet2!$D$2:$D$65,$B115+1)</f>
        <v>2</v>
      </c>
      <c r="F115" s="7">
        <f>INDEX(Sheet3!$AY$2:$BN$11,$A115,$E115+1)</f>
        <v>1601792820</v>
      </c>
      <c r="G115" s="7">
        <f>IF($B115&lt;16,_xlfn.BITOR(_xlfn.BITAND($K114,$L114),_xlfn.BITAND(4294967295-$K114,$M114)),IF($B115&lt;32,_xlfn.BITOR(_xlfn.BITAND($M114,$K114),_xlfn.BITAND(4294967295-$M114,$L114)),IF($B115&lt;48,_xlfn.BITXOR(_xlfn.BITXOR($K114,$L114),$M114),_xlfn.BITXOR($L114,_xlfn.BITOR($K114,4294967295-$M114)))))</f>
        <v>287368658</v>
      </c>
      <c r="H115" s="7">
        <f>MOD($G115+$J114+$C115+$F115,4294967296)</f>
        <v>501965737</v>
      </c>
      <c r="I115" s="7">
        <f>MOD($H115,2^(32-$D115))*2^$D115+INT($H115/2^(32-$D115))</f>
        <v>3566138801</v>
      </c>
      <c r="J115" s="7">
        <f>$M114</f>
        <v>133258544</v>
      </c>
      <c r="K115" s="7">
        <f>MOD($K114+$I115,4294967296)</f>
        <v>107634651</v>
      </c>
      <c r="L115" s="7">
        <f>$K114</f>
        <v>836463146</v>
      </c>
      <c r="M115" s="7">
        <f>$L114</f>
        <v>655020744</v>
      </c>
    </row>
    <row r="116" spans="1:13">
      <c r="A116" s="7">
        <v>2</v>
      </c>
      <c r="B116" s="7">
        <v>48</v>
      </c>
      <c r="C116" s="7">
        <f>INDEX(Sheet2!$B$2:$B$65,$B116+1)</f>
        <v>4096336452</v>
      </c>
      <c r="D116" s="7">
        <f>INDEX(Sheet2!$C$2:$C$65,$B116+1)</f>
        <v>6</v>
      </c>
      <c r="E116" s="7">
        <f>INDEX(Sheet2!$D$2:$D$65,$B116+1)</f>
        <v>0</v>
      </c>
      <c r="F116" s="7">
        <f>INDEX(Sheet3!$AY$2:$BN$11,$A116,$E116+1)</f>
        <v>1701654643</v>
      </c>
      <c r="G116" s="7">
        <f>IF($B116&lt;16,_xlfn.BITOR(_xlfn.BITAND($K115,$L115),_xlfn.BITAND(4294967295-$K115,$M115)),IF($B116&lt;32,_xlfn.BITOR(_xlfn.BITAND($M115,$K115),_xlfn.BITAND(4294967295-$M115,$L115)),IF($B116&lt;48,_xlfn.BITXOR(_xlfn.BITXOR($K115,$L115),$M115),_xlfn.BITXOR($L115,_xlfn.BITOR($K115,4294967295-$M115)))))</f>
        <v>4012119509</v>
      </c>
      <c r="H116" s="7">
        <f>MOD($G116+$J115+$C116+$F116,4294967296)</f>
        <v>1353434556</v>
      </c>
      <c r="I116" s="7">
        <f>MOD($H116,2^(32-$D116))*2^$D116+INT($H116/2^(32-$D116))</f>
        <v>720465684</v>
      </c>
      <c r="J116" s="7">
        <f>$M115</f>
        <v>655020744</v>
      </c>
      <c r="K116" s="7">
        <f>MOD($K115+$I116,4294967296)</f>
        <v>828100335</v>
      </c>
      <c r="L116" s="7">
        <f>$K115</f>
        <v>107634651</v>
      </c>
      <c r="M116" s="7">
        <f>$L115</f>
        <v>836463146</v>
      </c>
    </row>
    <row r="117" spans="1:13">
      <c r="A117" s="7">
        <v>2</v>
      </c>
      <c r="B117" s="7">
        <v>49</v>
      </c>
      <c r="C117" s="7">
        <f>INDEX(Sheet2!$B$2:$B$65,$B117+1)</f>
        <v>1126891415</v>
      </c>
      <c r="D117" s="7">
        <f>INDEX(Sheet2!$C$2:$C$65,$B117+1)</f>
        <v>10</v>
      </c>
      <c r="E117" s="7">
        <f>INDEX(Sheet2!$D$2:$D$65,$B117+1)</f>
        <v>7</v>
      </c>
      <c r="F117" s="7">
        <f>INDEX(Sheet3!$AY$2:$BN$11,$A117,$E117+1)</f>
        <v>0</v>
      </c>
      <c r="G117" s="7">
        <f>IF($B117&lt;16,_xlfn.BITOR(_xlfn.BITAND($K116,$L116),_xlfn.BITAND(4294967295-$K116,$M116)),IF($B117&lt;32,_xlfn.BITOR(_xlfn.BITAND($M116,$K116),_xlfn.BITAND(4294967295-$M116,$L116)),IF($B117&lt;48,_xlfn.BITXOR(_xlfn.BITXOR($K116,$L116),$M116),_xlfn.BITXOR($L116,_xlfn.BITOR($K116,4294967295-$M116)))))</f>
        <v>4178935844</v>
      </c>
      <c r="H117" s="7">
        <f>MOD($G117+$J116+$C117+$F117,4294967296)</f>
        <v>1665880707</v>
      </c>
      <c r="I117" s="7">
        <f>MOD($H117,2^(32-$D117))*2^$D117+INT($H117/2^(32-$D117))</f>
        <v>759827853</v>
      </c>
      <c r="J117" s="7">
        <f>$M116</f>
        <v>836463146</v>
      </c>
      <c r="K117" s="7">
        <f>MOD($K116+$I117,4294967296)</f>
        <v>1587928188</v>
      </c>
      <c r="L117" s="7">
        <f>$K116</f>
        <v>828100335</v>
      </c>
      <c r="M117" s="7">
        <f>$L116</f>
        <v>107634651</v>
      </c>
    </row>
    <row r="118" spans="1:13">
      <c r="A118" s="7">
        <v>2</v>
      </c>
      <c r="B118" s="7">
        <v>50</v>
      </c>
      <c r="C118" s="7">
        <f>INDEX(Sheet2!$B$2:$B$65,$B118+1)</f>
        <v>2878612391</v>
      </c>
      <c r="D118" s="7">
        <f>INDEX(Sheet2!$C$2:$C$65,$B118+1)</f>
        <v>15</v>
      </c>
      <c r="E118" s="7">
        <f>INDEX(Sheet2!$D$2:$D$65,$B118+1)</f>
        <v>14</v>
      </c>
      <c r="F118" s="7">
        <f>INDEX(Sheet3!$AY$2:$BN$11,$A118,$E118+1)</f>
        <v>152</v>
      </c>
      <c r="G118" s="7">
        <f>IF($B118&lt;16,_xlfn.BITOR(_xlfn.BITAND($K117,$L117),_xlfn.BITAND(4294967295-$K117,$M117)),IF($B118&lt;32,_xlfn.BITOR(_xlfn.BITAND($M117,$K117),_xlfn.BITAND(4294967295-$M117,$L117)),IF($B118&lt;48,_xlfn.BITXOR(_xlfn.BITXOR($K117,$L117),$M117),_xlfn.BITXOR($L117,_xlfn.BITOR($K117,4294967295-$M117)))))</f>
        <v>3471717011</v>
      </c>
      <c r="H118" s="7">
        <f>MOD($G118+$J117+$C118+$F118,4294967296)</f>
        <v>2891825404</v>
      </c>
      <c r="I118" s="7">
        <f>MOD($H118,2^(32-$D118))*2^$D118+INT($H118/2^(32-$D118))</f>
        <v>3766375982</v>
      </c>
      <c r="J118" s="7">
        <f>$M117</f>
        <v>107634651</v>
      </c>
      <c r="K118" s="7">
        <f>MOD($K117+$I118,4294967296)</f>
        <v>1059336874</v>
      </c>
      <c r="L118" s="7">
        <f>$K117</f>
        <v>1587928188</v>
      </c>
      <c r="M118" s="7">
        <f>$L117</f>
        <v>828100335</v>
      </c>
    </row>
    <row r="119" spans="1:13">
      <c r="A119" s="7">
        <v>2</v>
      </c>
      <c r="B119" s="7">
        <v>51</v>
      </c>
      <c r="C119" s="7">
        <f>INDEX(Sheet2!$B$2:$B$65,$B119+1)</f>
        <v>4237533241</v>
      </c>
      <c r="D119" s="7">
        <f>INDEX(Sheet2!$C$2:$C$65,$B119+1)</f>
        <v>21</v>
      </c>
      <c r="E119" s="7">
        <f>INDEX(Sheet2!$D$2:$D$65,$B119+1)</f>
        <v>5</v>
      </c>
      <c r="F119" s="7">
        <f>INDEX(Sheet3!$AY$2:$BN$11,$A119,$E119+1)</f>
        <v>0</v>
      </c>
      <c r="G119" s="7">
        <f>IF($B119&lt;16,_xlfn.BITOR(_xlfn.BITAND($K118,$L118),_xlfn.BITAND(4294967295-$K118,$M118)),IF($B119&lt;32,_xlfn.BITOR(_xlfn.BITAND($M118,$K118),_xlfn.BITAND(4294967295-$M118,$L118)),IF($B119&lt;48,_xlfn.BITXOR(_xlfn.BITXOR($K118,$L118),$M118),_xlfn.BITXOR($L118,_xlfn.BITOR($K118,4294967295-$M118)))))</f>
        <v>2701258694</v>
      </c>
      <c r="H119" s="7">
        <f>MOD($G119+$J118+$C119+$F119,4294967296)</f>
        <v>2751459290</v>
      </c>
      <c r="I119" s="7">
        <f>MOD($H119,2^(32-$D119))*2^$D119+INT($H119/2^(32-$D119))</f>
        <v>4216619005</v>
      </c>
      <c r="J119" s="7">
        <f>$M118</f>
        <v>828100335</v>
      </c>
      <c r="K119" s="7">
        <f>MOD($K118+$I119,4294967296)</f>
        <v>980988583</v>
      </c>
      <c r="L119" s="7">
        <f>$K118</f>
        <v>1059336874</v>
      </c>
      <c r="M119" s="7">
        <f>$L118</f>
        <v>1587928188</v>
      </c>
    </row>
    <row r="120" spans="1:13">
      <c r="A120" s="7">
        <v>2</v>
      </c>
      <c r="B120" s="7">
        <v>52</v>
      </c>
      <c r="C120" s="7">
        <f>INDEX(Sheet2!$B$2:$B$65,$B120+1)</f>
        <v>1700485571</v>
      </c>
      <c r="D120" s="7">
        <f>INDEX(Sheet2!$C$2:$C$65,$B120+1)</f>
        <v>6</v>
      </c>
      <c r="E120" s="7">
        <f>INDEX(Sheet2!$D$2:$D$65,$B120+1)</f>
        <v>12</v>
      </c>
      <c r="F120" s="7">
        <f>INDEX(Sheet3!$AY$2:$BN$11,$A120,$E120+1)</f>
        <v>0</v>
      </c>
      <c r="G120" s="7">
        <f>IF($B120&lt;16,_xlfn.BITOR(_xlfn.BITAND($K119,$L119),_xlfn.BITAND(4294967295-$K119,$M119)),IF($B120&lt;32,_xlfn.BITOR(_xlfn.BITAND($M119,$K119),_xlfn.BITAND(4294967295-$M119,$L119)),IF($B120&lt;48,_xlfn.BITXOR(_xlfn.BITXOR($K119,$L119),$M119),_xlfn.BITXOR($L119,_xlfn.BITOR($K119,4294967295-$M119)))))</f>
        <v>2220785933</v>
      </c>
      <c r="H120" s="7">
        <f>MOD($G120+$J119+$C120+$F120,4294967296)</f>
        <v>454404543</v>
      </c>
      <c r="I120" s="7">
        <f>MOD($H120,2^(32-$D120))*2^$D120+INT($H120/2^(32-$D120))</f>
        <v>3312086982</v>
      </c>
      <c r="J120" s="7">
        <f>$M119</f>
        <v>1587928188</v>
      </c>
      <c r="K120" s="7">
        <f>MOD($K119+$I120,4294967296)</f>
        <v>4293075565</v>
      </c>
      <c r="L120" s="7">
        <f>$K119</f>
        <v>980988583</v>
      </c>
      <c r="M120" s="7">
        <f>$L119</f>
        <v>1059336874</v>
      </c>
    </row>
    <row r="121" spans="1:13">
      <c r="A121" s="7">
        <v>2</v>
      </c>
      <c r="B121" s="7">
        <v>53</v>
      </c>
      <c r="C121" s="7">
        <f>INDEX(Sheet2!$B$2:$B$65,$B121+1)</f>
        <v>2399980690</v>
      </c>
      <c r="D121" s="7">
        <f>INDEX(Sheet2!$C$2:$C$65,$B121+1)</f>
        <v>10</v>
      </c>
      <c r="E121" s="7">
        <f>INDEX(Sheet2!$D$2:$D$65,$B121+1)</f>
        <v>3</v>
      </c>
      <c r="F121" s="7">
        <f>INDEX(Sheet3!$AY$2:$BN$11,$A121,$E121+1)</f>
        <v>1953248371</v>
      </c>
      <c r="G121" s="7">
        <f>IF($B121&lt;16,_xlfn.BITOR(_xlfn.BITAND($K120,$L120),_xlfn.BITAND(4294967295-$K120,$M120)),IF($B121&lt;32,_xlfn.BITOR(_xlfn.BITAND($M120,$K120),_xlfn.BITAND(4294967295-$M120,$L120)),IF($B121&lt;48,_xlfn.BITXOR(_xlfn.BITXOR($K120,$L120),$M120),_xlfn.BITXOR($L120,_xlfn.BITOR($K120,4294967295-$M120)))))</f>
        <v>3313720794</v>
      </c>
      <c r="H121" s="7">
        <f>MOD($G121+$J120+$C121+$F121,4294967296)</f>
        <v>664943451</v>
      </c>
      <c r="I121" s="7">
        <f>MOD($H121,2^(32-$D121))*2^$D121+INT($H121/2^(32-$D121))</f>
        <v>2297261214</v>
      </c>
      <c r="J121" s="7">
        <f>$M120</f>
        <v>1059336874</v>
      </c>
      <c r="K121" s="7">
        <f>MOD($K120+$I121,4294967296)</f>
        <v>2295369483</v>
      </c>
      <c r="L121" s="7">
        <f>$K120</f>
        <v>4293075565</v>
      </c>
      <c r="M121" s="7">
        <f>$L120</f>
        <v>980988583</v>
      </c>
    </row>
    <row r="122" spans="1:13">
      <c r="A122" s="7">
        <v>2</v>
      </c>
      <c r="B122" s="7">
        <v>54</v>
      </c>
      <c r="C122" s="7">
        <f>INDEX(Sheet2!$B$2:$B$65,$B122+1)</f>
        <v>4293915773</v>
      </c>
      <c r="D122" s="7">
        <f>INDEX(Sheet2!$C$2:$C$65,$B122+1)</f>
        <v>15</v>
      </c>
      <c r="E122" s="7">
        <f>INDEX(Sheet2!$D$2:$D$65,$B122+1)</f>
        <v>10</v>
      </c>
      <c r="F122" s="7">
        <f>INDEX(Sheet3!$AY$2:$BN$11,$A122,$E122+1)</f>
        <v>0</v>
      </c>
      <c r="G122" s="7">
        <f>IF($B122&lt;16,_xlfn.BITOR(_xlfn.BITAND($K121,$L121),_xlfn.BITAND(4294967295-$K121,$M121)),IF($B122&lt;32,_xlfn.BITOR(_xlfn.BITAND($M121,$K121),_xlfn.BITAND(4294967295-$M121,$L121)),IF($B122&lt;48,_xlfn.BITXOR(_xlfn.BITXOR($K121,$L121),$M121),_xlfn.BITXOR($L121,_xlfn.BITOR($K121,4294967295-$M121)))))</f>
        <v>842329398</v>
      </c>
      <c r="H122" s="7">
        <f>MOD($G122+$J121+$C122+$F122,4294967296)</f>
        <v>1900614749</v>
      </c>
      <c r="I122" s="7">
        <f>MOD($H122,2^(32-$D122))*2^$D122+INT($H122/2^(32-$D122))</f>
        <v>2318317732</v>
      </c>
      <c r="J122" s="7">
        <f>$M121</f>
        <v>980988583</v>
      </c>
      <c r="K122" s="7">
        <f>MOD($K121+$I122,4294967296)</f>
        <v>318719919</v>
      </c>
      <c r="L122" s="7">
        <f>$K121</f>
        <v>2295369483</v>
      </c>
      <c r="M122" s="7">
        <f>$L121</f>
        <v>4293075565</v>
      </c>
    </row>
    <row r="123" spans="1:13">
      <c r="A123" s="7">
        <v>2</v>
      </c>
      <c r="B123" s="7">
        <v>55</v>
      </c>
      <c r="C123" s="7">
        <f>INDEX(Sheet2!$B$2:$B$65,$B123+1)</f>
        <v>2240044497</v>
      </c>
      <c r="D123" s="7">
        <f>INDEX(Sheet2!$C$2:$C$65,$B123+1)</f>
        <v>21</v>
      </c>
      <c r="E123" s="7">
        <f>INDEX(Sheet2!$D$2:$D$65,$B123+1)</f>
        <v>1</v>
      </c>
      <c r="F123" s="7">
        <f>INDEX(Sheet3!$AY$2:$BN$11,$A123,$E123+1)</f>
        <v>862876511</v>
      </c>
      <c r="G123" s="7">
        <f>IF($B123&lt;16,_xlfn.BITOR(_xlfn.BITAND($K122,$L122),_xlfn.BITAND(4294967295-$K122,$M122)),IF($B123&lt;32,_xlfn.BITOR(_xlfn.BITAND($M122,$K122),_xlfn.BITAND(4294967295-$M122,$L122)),IF($B123&lt;48,_xlfn.BITXOR(_xlfn.BITXOR($K122,$L122),$M122),_xlfn.BITXOR($L122,_xlfn.BITOR($K122,4294967295-$M122)))))</f>
        <v>2586792116</v>
      </c>
      <c r="H123" s="7">
        <f>MOD($G123+$J122+$C123+$F123,4294967296)</f>
        <v>2375734411</v>
      </c>
      <c r="I123" s="7">
        <f>MOD($H123,2^(32-$D123))*2^$D123+INT($H123/2^(32-$D123))</f>
        <v>2440147802</v>
      </c>
      <c r="J123" s="7">
        <f>$M122</f>
        <v>4293075565</v>
      </c>
      <c r="K123" s="7">
        <f>MOD($K122+$I123,4294967296)</f>
        <v>2758867721</v>
      </c>
      <c r="L123" s="7">
        <f>$K122</f>
        <v>318719919</v>
      </c>
      <c r="M123" s="7">
        <f>$L122</f>
        <v>2295369483</v>
      </c>
    </row>
    <row r="124" spans="1:13">
      <c r="A124" s="7">
        <v>2</v>
      </c>
      <c r="B124" s="7">
        <v>56</v>
      </c>
      <c r="C124" s="7">
        <f>INDEX(Sheet2!$B$2:$B$65,$B124+1)</f>
        <v>1873313359</v>
      </c>
      <c r="D124" s="7">
        <f>INDEX(Sheet2!$C$2:$C$65,$B124+1)</f>
        <v>6</v>
      </c>
      <c r="E124" s="7">
        <f>INDEX(Sheet2!$D$2:$D$65,$B124+1)</f>
        <v>8</v>
      </c>
      <c r="F124" s="7">
        <f>INDEX(Sheet3!$AY$2:$BN$11,$A124,$E124+1)</f>
        <v>0</v>
      </c>
      <c r="G124" s="7">
        <f>IF($B124&lt;16,_xlfn.BITOR(_xlfn.BITAND($K123,$L123),_xlfn.BITAND(4294967295-$K123,$M123)),IF($B124&lt;32,_xlfn.BITOR(_xlfn.BITAND($M123,$K123),_xlfn.BITAND(4294967295-$M123,$L123)),IF($B124&lt;48,_xlfn.BITXOR(_xlfn.BITXOR($K123,$L123),$M123),_xlfn.BITXOR($L123,_xlfn.BITOR($K123,4294967295-$M123)))))</f>
        <v>3850419282</v>
      </c>
      <c r="H124" s="7">
        <f>MOD($G124+$J123+$C124+$F124,4294967296)</f>
        <v>1426873614</v>
      </c>
      <c r="I124" s="7">
        <f>MOD($H124,2^(32-$D124))*2^$D124+INT($H124/2^(32-$D124))</f>
        <v>1125598101</v>
      </c>
      <c r="J124" s="7">
        <f>$M123</f>
        <v>2295369483</v>
      </c>
      <c r="K124" s="7">
        <f>MOD($K123+$I124,4294967296)</f>
        <v>3884465822</v>
      </c>
      <c r="L124" s="7">
        <f>$K123</f>
        <v>2758867721</v>
      </c>
      <c r="M124" s="7">
        <f>$L123</f>
        <v>318719919</v>
      </c>
    </row>
    <row r="125" spans="1:13">
      <c r="A125" s="7">
        <v>2</v>
      </c>
      <c r="B125" s="7">
        <v>57</v>
      </c>
      <c r="C125" s="7">
        <f>INDEX(Sheet2!$B$2:$B$65,$B125+1)</f>
        <v>4264355552</v>
      </c>
      <c r="D125" s="7">
        <f>INDEX(Sheet2!$C$2:$C$65,$B125+1)</f>
        <v>10</v>
      </c>
      <c r="E125" s="7">
        <f>INDEX(Sheet2!$D$2:$D$65,$B125+1)</f>
        <v>15</v>
      </c>
      <c r="F125" s="7">
        <f>INDEX(Sheet3!$AY$2:$BN$11,$A125,$E125+1)</f>
        <v>0</v>
      </c>
      <c r="G125" s="7">
        <f>IF($B125&lt;16,_xlfn.BITOR(_xlfn.BITAND($K124,$L124),_xlfn.BITAND(4294967295-$K124,$M124)),IF($B125&lt;32,_xlfn.BITOR(_xlfn.BITAND($M124,$K124),_xlfn.BITAND(4294967295-$M124,$L124)),IF($B125&lt;48,_xlfn.BITXOR(_xlfn.BITXOR($K124,$L124),$M124),_xlfn.BITXOR($L124,_xlfn.BITOR($K124,4294967295-$M124)))))</f>
        <v>1274562007</v>
      </c>
      <c r="H125" s="7">
        <f>MOD($G125+$J124+$C125+$F125,4294967296)</f>
        <v>3539319746</v>
      </c>
      <c r="I125" s="7">
        <f>MOD($H125,2^(32-$D125))*2^$D125+INT($H125/2^(32-$D125))</f>
        <v>3605990219</v>
      </c>
      <c r="J125" s="7">
        <f>$M124</f>
        <v>318719919</v>
      </c>
      <c r="K125" s="7">
        <f>MOD($K124+$I125,4294967296)</f>
        <v>3195488745</v>
      </c>
      <c r="L125" s="7">
        <f>$K124</f>
        <v>3884465822</v>
      </c>
      <c r="M125" s="7">
        <f>$L124</f>
        <v>2758867721</v>
      </c>
    </row>
    <row r="126" spans="1:13">
      <c r="A126" s="7">
        <v>2</v>
      </c>
      <c r="B126" s="7">
        <v>58</v>
      </c>
      <c r="C126" s="7">
        <f>INDEX(Sheet2!$B$2:$B$65,$B126+1)</f>
        <v>2734768916</v>
      </c>
      <c r="D126" s="7">
        <f>INDEX(Sheet2!$C$2:$C$65,$B126+1)</f>
        <v>15</v>
      </c>
      <c r="E126" s="7">
        <f>INDEX(Sheet2!$D$2:$D$65,$B126+1)</f>
        <v>6</v>
      </c>
      <c r="F126" s="7">
        <f>INDEX(Sheet3!$AY$2:$BN$11,$A126,$E126+1)</f>
        <v>0</v>
      </c>
      <c r="G126" s="7">
        <f>IF($B126&lt;16,_xlfn.BITOR(_xlfn.BITAND($K125,$L125),_xlfn.BITAND(4294967295-$K125,$M125)),IF($B126&lt;32,_xlfn.BITOR(_xlfn.BITAND($M125,$K125),_xlfn.BITAND(4294967295-$M125,$L125)),IF($B126&lt;48,_xlfn.BITXOR(_xlfn.BITXOR($K125,$L125),$M125),_xlfn.BITXOR($L125,_xlfn.BITOR($K125,4294967295-$M125)))))</f>
        <v>410481505</v>
      </c>
      <c r="H126" s="7">
        <f>MOD($G126+$J125+$C126+$F126,4294967296)</f>
        <v>3463970340</v>
      </c>
      <c r="I126" s="7">
        <f>MOD($H126,2^(32-$D126))*2^$D126+INT($H126/2^(32-$D126))</f>
        <v>4279396155</v>
      </c>
      <c r="J126" s="7">
        <f>$M125</f>
        <v>2758867721</v>
      </c>
      <c r="K126" s="7">
        <f>MOD($K125+$I126,4294967296)</f>
        <v>3179917604</v>
      </c>
      <c r="L126" s="7">
        <f>$K125</f>
        <v>3195488745</v>
      </c>
      <c r="M126" s="7">
        <f>$L125</f>
        <v>3884465822</v>
      </c>
    </row>
    <row r="127" spans="1:13">
      <c r="A127" s="7">
        <v>2</v>
      </c>
      <c r="B127" s="7">
        <v>59</v>
      </c>
      <c r="C127" s="7">
        <f>INDEX(Sheet2!$B$2:$B$65,$B127+1)</f>
        <v>1309151649</v>
      </c>
      <c r="D127" s="7">
        <f>INDEX(Sheet2!$C$2:$C$65,$B127+1)</f>
        <v>21</v>
      </c>
      <c r="E127" s="7">
        <f>INDEX(Sheet2!$D$2:$D$65,$B127+1)</f>
        <v>13</v>
      </c>
      <c r="F127" s="7">
        <f>INDEX(Sheet3!$AY$2:$BN$11,$A127,$E127+1)</f>
        <v>0</v>
      </c>
      <c r="G127" s="7">
        <f>IF($B127&lt;16,_xlfn.BITOR(_xlfn.BITAND($K126,$L126),_xlfn.BITAND(4294967295-$K126,$M126)),IF($B127&lt;32,_xlfn.BITOR(_xlfn.BITAND($M126,$K126),_xlfn.BITAND(4294967295-$M126,$L126)),IF($B127&lt;48,_xlfn.BITXOR(_xlfn.BITXOR($K126,$L126),$M126),_xlfn.BITXOR($L126,_xlfn.BITOR($K126,4294967295-$M126)))))</f>
        <v>59291788</v>
      </c>
      <c r="H127" s="7">
        <f>MOD($G127+$J126+$C127+$F127,4294967296)</f>
        <v>4127311158</v>
      </c>
      <c r="I127" s="7">
        <f>MOD($H127,2^(32-$D127))*2^$D127+INT($H127/2^(32-$D127))</f>
        <v>2799616056</v>
      </c>
      <c r="J127" s="7">
        <f>$M126</f>
        <v>3884465822</v>
      </c>
      <c r="K127" s="7">
        <f>MOD($K126+$I127,4294967296)</f>
        <v>1684566364</v>
      </c>
      <c r="L127" s="7">
        <f>$K126</f>
        <v>3179917604</v>
      </c>
      <c r="M127" s="7">
        <f>$L126</f>
        <v>3195488745</v>
      </c>
    </row>
    <row r="128" spans="1:13">
      <c r="A128" s="7">
        <v>2</v>
      </c>
      <c r="B128" s="7">
        <v>60</v>
      </c>
      <c r="C128" s="7">
        <f>INDEX(Sheet2!$B$2:$B$65,$B128+1)</f>
        <v>4149444226</v>
      </c>
      <c r="D128" s="7">
        <f>INDEX(Sheet2!$C$2:$C$65,$B128+1)</f>
        <v>6</v>
      </c>
      <c r="E128" s="7">
        <f>INDEX(Sheet2!$D$2:$D$65,$B128+1)</f>
        <v>4</v>
      </c>
      <c r="F128" s="7">
        <f>INDEX(Sheet3!$AY$2:$BN$11,$A128,$E128+1)</f>
        <v>2151628607</v>
      </c>
      <c r="G128" s="7">
        <f>IF($B128&lt;16,_xlfn.BITOR(_xlfn.BITAND($K127,$L127),_xlfn.BITAND(4294967295-$K127,$M127)),IF($B128&lt;32,_xlfn.BITOR(_xlfn.BITAND($M127,$K127),_xlfn.BITAND(4294967295-$M127,$L127)),IF($B128&lt;48,_xlfn.BITXOR(_xlfn.BITXOR($K127,$L127),$M127),_xlfn.BITXOR($L127,_xlfn.BITOR($K127,4294967295-$M127)))))</f>
        <v>3630253690</v>
      </c>
      <c r="H128" s="7">
        <f>MOD($G128+$J127+$C128+$F128,4294967296)</f>
        <v>930890457</v>
      </c>
      <c r="I128" s="7">
        <f>MOD($H128,2^(32-$D128))*2^$D128+INT($H128/2^(32-$D128))</f>
        <v>3742414413</v>
      </c>
      <c r="J128" s="7">
        <f>$M127</f>
        <v>3195488745</v>
      </c>
      <c r="K128" s="7">
        <f>MOD($K127+$I128,4294967296)</f>
        <v>1132013481</v>
      </c>
      <c r="L128" s="7">
        <f>$K127</f>
        <v>1684566364</v>
      </c>
      <c r="M128" s="7">
        <f>$L127</f>
        <v>3179917604</v>
      </c>
    </row>
    <row r="129" spans="1:13">
      <c r="A129" s="7">
        <v>2</v>
      </c>
      <c r="B129" s="7">
        <v>61</v>
      </c>
      <c r="C129" s="7">
        <f>INDEX(Sheet2!$B$2:$B$65,$B129+1)</f>
        <v>3174756917</v>
      </c>
      <c r="D129" s="7">
        <f>INDEX(Sheet2!$C$2:$C$65,$B129+1)</f>
        <v>10</v>
      </c>
      <c r="E129" s="7">
        <f>INDEX(Sheet2!$D$2:$D$65,$B129+1)</f>
        <v>11</v>
      </c>
      <c r="F129" s="7">
        <f>INDEX(Sheet3!$AY$2:$BN$11,$A129,$E129+1)</f>
        <v>0</v>
      </c>
      <c r="G129" s="7">
        <f>IF($B129&lt;16,_xlfn.BITOR(_xlfn.BITAND($K128,$L128),_xlfn.BITAND(4294967295-$K128,$M128)),IF($B129&lt;32,_xlfn.BITOR(_xlfn.BITAND($M128,$K128),_xlfn.BITAND(4294967295-$M128,$L128)),IF($B129&lt;48,_xlfn.BITXOR(_xlfn.BITXOR($K128,$L128),$M128),_xlfn.BITXOR($L128,_xlfn.BITOR($K128,4294967295-$M128)))))</f>
        <v>655826599</v>
      </c>
      <c r="H129" s="7">
        <f>MOD($G129+$J128+$C129+$F129,4294967296)</f>
        <v>2731104965</v>
      </c>
      <c r="I129" s="7">
        <f>MOD($H129,2^(32-$D129))*2^$D129+INT($H129/2^(32-$D129))</f>
        <v>627775115</v>
      </c>
      <c r="J129" s="7">
        <f>$M128</f>
        <v>3179917604</v>
      </c>
      <c r="K129" s="7">
        <f>MOD($K128+$I129,4294967296)</f>
        <v>1759788596</v>
      </c>
      <c r="L129" s="7">
        <f>$K128</f>
        <v>1132013481</v>
      </c>
      <c r="M129" s="7">
        <f>$L128</f>
        <v>1684566364</v>
      </c>
    </row>
    <row r="130" spans="1:13">
      <c r="A130" s="7">
        <v>2</v>
      </c>
      <c r="B130" s="7">
        <v>62</v>
      </c>
      <c r="C130" s="7">
        <f>INDEX(Sheet2!$B$2:$B$65,$B130+1)</f>
        <v>718787259</v>
      </c>
      <c r="D130" s="7">
        <f>INDEX(Sheet2!$C$2:$C$65,$B130+1)</f>
        <v>15</v>
      </c>
      <c r="E130" s="7">
        <f>INDEX(Sheet2!$D$2:$D$65,$B130+1)</f>
        <v>2</v>
      </c>
      <c r="F130" s="7">
        <f>INDEX(Sheet3!$AY$2:$BN$11,$A130,$E130+1)</f>
        <v>1601792820</v>
      </c>
      <c r="G130" s="7">
        <f>IF($B130&lt;16,_xlfn.BITOR(_xlfn.BITAND($K129,$L129),_xlfn.BITAND(4294967295-$K129,$M129)),IF($B130&lt;32,_xlfn.BITOR(_xlfn.BITAND($M129,$K129),_xlfn.BITAND(4294967295-$M129,$L129)),IF($B130&lt;48,_xlfn.BITXOR(_xlfn.BITXOR($K129,$L129),$M129),_xlfn.BITXOR($L129,_xlfn.BITOR($K129,4294967295-$M129)))))</f>
        <v>3096353054</v>
      </c>
      <c r="H130" s="7">
        <f>MOD($G130+$J129+$C130+$F130,4294967296)</f>
        <v>6916145</v>
      </c>
      <c r="I130" s="7">
        <f>MOD($H130,2^(32-$D130))*2^$D130+INT($H130/2^(32-$D130))</f>
        <v>3289940020</v>
      </c>
      <c r="J130" s="7">
        <f>$M129</f>
        <v>1684566364</v>
      </c>
      <c r="K130" s="7">
        <f>MOD($K129+$I130,4294967296)</f>
        <v>754761320</v>
      </c>
      <c r="L130" s="7">
        <f>$K129</f>
        <v>1759788596</v>
      </c>
      <c r="M130" s="7">
        <f>$L129</f>
        <v>1132013481</v>
      </c>
    </row>
    <row r="131" spans="1:13">
      <c r="A131" s="7">
        <v>2</v>
      </c>
      <c r="B131" s="7">
        <v>63</v>
      </c>
      <c r="C131" s="7">
        <f>INDEX(Sheet2!$B$2:$B$65,$B131+1)</f>
        <v>3951481745</v>
      </c>
      <c r="D131" s="7">
        <f>INDEX(Sheet2!$C$2:$C$65,$B131+1)</f>
        <v>21</v>
      </c>
      <c r="E131" s="7">
        <f>INDEX(Sheet2!$D$2:$D$65,$B131+1)</f>
        <v>9</v>
      </c>
      <c r="F131" s="7">
        <f>INDEX(Sheet3!$AY$2:$BN$11,$A131,$E131+1)</f>
        <v>0</v>
      </c>
      <c r="G131" s="7">
        <f>IF($B131&lt;16,_xlfn.BITOR(_xlfn.BITAND($K130,$L130),_xlfn.BITAND(4294967295-$K130,$M130)),IF($B131&lt;32,_xlfn.BITOR(_xlfn.BITAND($M130,$K130),_xlfn.BITAND(4294967295-$M130,$L130)),IF($B131&lt;48,_xlfn.BITXOR(_xlfn.BITXOR($K130,$L130),$M130),_xlfn.BITXOR($L130,_xlfn.BITOR($K130,4294967295-$M130)))))</f>
        <v>3558522954</v>
      </c>
      <c r="H131" s="7">
        <f>MOD($G131+$J130+$C131+$F131,4294967296)</f>
        <v>604636471</v>
      </c>
      <c r="I131" s="7">
        <f>MOD($H131,2^(32-$D131))*2^$D131+INT($H131/2^(32-$D131))</f>
        <v>2799993152</v>
      </c>
      <c r="J131" s="7">
        <f>$M130</f>
        <v>1132013481</v>
      </c>
      <c r="K131" s="7">
        <f>MOD($K130+$I131,4294967296)</f>
        <v>3554754472</v>
      </c>
      <c r="L131" s="7">
        <f>$K130</f>
        <v>754761320</v>
      </c>
      <c r="M131" s="7">
        <f>$L130</f>
        <v>1759788596</v>
      </c>
    </row>
    <row r="132" spans="1:13">
      <c r="A132" s="8">
        <v>3</v>
      </c>
      <c r="B132" s="8">
        <v>-1</v>
      </c>
      <c r="J132" s="8">
        <v>1732584193</v>
      </c>
      <c r="K132" s="8">
        <v>4023233417</v>
      </c>
      <c r="L132" s="8">
        <v>2562383102</v>
      </c>
      <c r="M132" s="8">
        <v>271733878</v>
      </c>
    </row>
    <row r="133" spans="1:13">
      <c r="A133" s="7">
        <v>3</v>
      </c>
      <c r="B133" s="7">
        <v>0</v>
      </c>
      <c r="C133" s="7">
        <f>INDEX(Sheet2!$B$2:$B$65,$B133+1)</f>
        <v>3614090360</v>
      </c>
      <c r="D133" s="7">
        <f>INDEX(Sheet2!$C$2:$C$65,$B133+1)</f>
        <v>7</v>
      </c>
      <c r="E133" s="7">
        <f>INDEX(Sheet2!$D$2:$D$65,$B133+1)</f>
        <v>0</v>
      </c>
      <c r="F133" s="7">
        <f>INDEX(Sheet3!$AY$2:$BN$11,$A133,$E133+1)</f>
        <v>1701654643</v>
      </c>
      <c r="G133" s="7">
        <f>IF($B133&lt;16,_xlfn.BITOR(_xlfn.BITAND($K132,$L132),_xlfn.BITAND(4294967295-$K132,$M132)),IF($B133&lt;32,_xlfn.BITOR(_xlfn.BITAND($M132,$K132),_xlfn.BITAND(4294967295-$M132,$L132)),IF($B133&lt;48,_xlfn.BITXOR(_xlfn.BITXOR($K132,$L132),$M132),_xlfn.BITXOR($L132,_xlfn.BITOR($K132,4294967295-$M132)))))</f>
        <v>2562383102</v>
      </c>
      <c r="H133" s="7">
        <f>MOD($G133+$J132+$C133+$F133,4294967296)</f>
        <v>1020777706</v>
      </c>
      <c r="I133" s="7">
        <f>MOD($H133,2^(32-$D133))*2^$D133+INT($H133/2^(32-$D133))</f>
        <v>1810527518</v>
      </c>
      <c r="J133" s="7">
        <f>$M132</f>
        <v>271733878</v>
      </c>
      <c r="K133" s="7">
        <f>MOD($K132+$I133,4294967296)</f>
        <v>1538793639</v>
      </c>
      <c r="L133" s="7">
        <f>$K132</f>
        <v>4023233417</v>
      </c>
      <c r="M133" s="7">
        <f>$L132</f>
        <v>2562383102</v>
      </c>
    </row>
    <row r="134" spans="1:13">
      <c r="A134" s="7">
        <v>3</v>
      </c>
      <c r="B134" s="7">
        <v>1</v>
      </c>
      <c r="C134" s="7">
        <f>INDEX(Sheet2!$B$2:$B$65,$B134+1)</f>
        <v>3905402710</v>
      </c>
      <c r="D134" s="7">
        <f>INDEX(Sheet2!$C$2:$C$65,$B134+1)</f>
        <v>12</v>
      </c>
      <c r="E134" s="7">
        <f>INDEX(Sheet2!$D$2:$D$65,$B134+1)</f>
        <v>1</v>
      </c>
      <c r="F134" s="7">
        <f>INDEX(Sheet3!$AY$2:$BN$11,$A134,$E134+1)</f>
        <v>862876511</v>
      </c>
      <c r="G134" s="7">
        <f>IF($B134&lt;16,_xlfn.BITOR(_xlfn.BITAND($K133,$L133),_xlfn.BITAND(4294967295-$K133,$M133)),IF($B134&lt;32,_xlfn.BITOR(_xlfn.BITAND($M133,$K133),_xlfn.BITAND(4294967295-$M133,$L133)),IF($B134&lt;48,_xlfn.BITXOR(_xlfn.BITXOR($K133,$L133),$M133),_xlfn.BITXOR($L133,_xlfn.BITOR($K133,4294967295-$M133)))))</f>
        <v>3414883545</v>
      </c>
      <c r="H134" s="7">
        <f>MOD($G134+$J133+$C134+$F134,4294967296)</f>
        <v>4159929348</v>
      </c>
      <c r="I134" s="7">
        <f>MOD($H134,2^(32-$D134))*2^$D134+INT($H134/2^(32-$D134))</f>
        <v>935350143</v>
      </c>
      <c r="J134" s="7">
        <f>$M133</f>
        <v>2562383102</v>
      </c>
      <c r="K134" s="7">
        <f>MOD($K133+$I134,4294967296)</f>
        <v>2474143782</v>
      </c>
      <c r="L134" s="7">
        <f>$K133</f>
        <v>1538793639</v>
      </c>
      <c r="M134" s="7">
        <f>$L133</f>
        <v>4023233417</v>
      </c>
    </row>
    <row r="135" spans="1:13">
      <c r="A135" s="7">
        <v>3</v>
      </c>
      <c r="B135" s="7">
        <v>2</v>
      </c>
      <c r="C135" s="7">
        <f>INDEX(Sheet2!$B$2:$B$65,$B135+1)</f>
        <v>606105819</v>
      </c>
      <c r="D135" s="7">
        <f>INDEX(Sheet2!$C$2:$C$65,$B135+1)</f>
        <v>17</v>
      </c>
      <c r="E135" s="7">
        <f>INDEX(Sheet2!$D$2:$D$65,$B135+1)</f>
        <v>2</v>
      </c>
      <c r="F135" s="7">
        <f>INDEX(Sheet3!$AY$2:$BN$11,$A135,$E135+1)</f>
        <v>1601792820</v>
      </c>
      <c r="G135" s="7">
        <f>IF($B135&lt;16,_xlfn.BITOR(_xlfn.BITAND($K134,$L134),_xlfn.BITAND(4294967295-$K134,$M134)),IF($B135&lt;32,_xlfn.BITOR(_xlfn.BITAND($M134,$K134),_xlfn.BITAND(4294967295-$M134,$L134)),IF($B135&lt;48,_xlfn.BITXOR(_xlfn.BITXOR($K134,$L134),$M134),_xlfn.BITXOR($L134,_xlfn.BITOR($K134,4294967295-$M134)))))</f>
        <v>2143136687</v>
      </c>
      <c r="H135" s="7">
        <f>MOD($G135+$J134+$C135+$F135,4294967296)</f>
        <v>2618451132</v>
      </c>
      <c r="I135" s="7">
        <f>MOD($H135,2^(32-$D135))*2^$D135+INT($H135/2^(32-$D135))</f>
        <v>3380164644</v>
      </c>
      <c r="J135" s="7">
        <f>$M134</f>
        <v>4023233417</v>
      </c>
      <c r="K135" s="7">
        <f>MOD($K134+$I135,4294967296)</f>
        <v>1559341130</v>
      </c>
      <c r="L135" s="7">
        <f>$K134</f>
        <v>2474143782</v>
      </c>
      <c r="M135" s="7">
        <f>$L134</f>
        <v>1538793639</v>
      </c>
    </row>
    <row r="136" spans="1:13">
      <c r="A136" s="7">
        <v>3</v>
      </c>
      <c r="B136" s="7">
        <v>3</v>
      </c>
      <c r="C136" s="7">
        <f>INDEX(Sheet2!$B$2:$B$65,$B136+1)</f>
        <v>3250441966</v>
      </c>
      <c r="D136" s="7">
        <f>INDEX(Sheet2!$C$2:$C$65,$B136+1)</f>
        <v>22</v>
      </c>
      <c r="E136" s="7">
        <f>INDEX(Sheet2!$D$2:$D$65,$B136+1)</f>
        <v>3</v>
      </c>
      <c r="F136" s="7">
        <f>INDEX(Sheet3!$AY$2:$BN$11,$A136,$E136+1)</f>
        <v>1953248371</v>
      </c>
      <c r="G136" s="7">
        <f>IF($B136&lt;16,_xlfn.BITOR(_xlfn.BITAND($K135,$L135),_xlfn.BITAND(4294967295-$K135,$M135)),IF($B136&lt;32,_xlfn.BITOR(_xlfn.BITAND($M135,$K135),_xlfn.BITAND(4294967295-$M135,$L135)),IF($B136&lt;48,_xlfn.BITXOR(_xlfn.BITXOR($K135,$L135),$M135),_xlfn.BITXOR($L135,_xlfn.BITOR($K135,4294967295-$M135)))))</f>
        <v>326639783</v>
      </c>
      <c r="H136" s="7">
        <f>MOD($G136+$J135+$C136+$F136,4294967296)</f>
        <v>963628945</v>
      </c>
      <c r="I136" s="7">
        <f>MOD($H136,2^(32-$D136))*2^$D136+INT($H136/2^(32-$D136))</f>
        <v>3830340595</v>
      </c>
      <c r="J136" s="7">
        <f>$M135</f>
        <v>1538793639</v>
      </c>
      <c r="K136" s="7">
        <f>MOD($K135+$I136,4294967296)</f>
        <v>1094714429</v>
      </c>
      <c r="L136" s="7">
        <f>$K135</f>
        <v>1559341130</v>
      </c>
      <c r="M136" s="7">
        <f>$L135</f>
        <v>2474143782</v>
      </c>
    </row>
    <row r="137" spans="1:13">
      <c r="A137" s="7">
        <v>3</v>
      </c>
      <c r="B137" s="7">
        <v>4</v>
      </c>
      <c r="C137" s="7">
        <f>INDEX(Sheet2!$B$2:$B$65,$B137+1)</f>
        <v>4118548399</v>
      </c>
      <c r="D137" s="7">
        <f>INDEX(Sheet2!$C$2:$C$65,$B137+1)</f>
        <v>7</v>
      </c>
      <c r="E137" s="7">
        <f>INDEX(Sheet2!$D$2:$D$65,$B137+1)</f>
        <v>4</v>
      </c>
      <c r="F137" s="7">
        <f>INDEX(Sheet3!$AY$2:$BN$11,$A137,$E137+1)</f>
        <v>2151628607</v>
      </c>
      <c r="G137" s="7">
        <f>IF($B137&lt;16,_xlfn.BITOR(_xlfn.BITAND($K136,$L136),_xlfn.BITAND(4294967295-$K136,$M136)),IF($B137&lt;32,_xlfn.BITOR(_xlfn.BITAND($M136,$K136),_xlfn.BITAND(4294967295-$M136,$L136)),IF($B137&lt;48,_xlfn.BITXOR(_xlfn.BITXOR($K136,$L136),$M136),_xlfn.BITXOR($L136,_xlfn.BITOR($K136,4294967295-$M136)))))</f>
        <v>3531108362</v>
      </c>
      <c r="H137" s="7">
        <f>MOD($G137+$J136+$C137+$F137,4294967296)</f>
        <v>2750144415</v>
      </c>
      <c r="I137" s="7">
        <f>MOD($H137,2^(32-$D137))*2^$D137+INT($H137/2^(32-$D137))</f>
        <v>4126134225</v>
      </c>
      <c r="J137" s="7">
        <f>$M136</f>
        <v>2474143782</v>
      </c>
      <c r="K137" s="7">
        <f>MOD($K136+$I137,4294967296)</f>
        <v>925881358</v>
      </c>
      <c r="L137" s="7">
        <f>$K136</f>
        <v>1094714429</v>
      </c>
      <c r="M137" s="7">
        <f>$L136</f>
        <v>1559341130</v>
      </c>
    </row>
    <row r="138" spans="1:13">
      <c r="A138" s="7">
        <v>3</v>
      </c>
      <c r="B138" s="7">
        <v>5</v>
      </c>
      <c r="C138" s="7">
        <f>INDEX(Sheet2!$B$2:$B$65,$B138+1)</f>
        <v>1200080426</v>
      </c>
      <c r="D138" s="7">
        <f>INDEX(Sheet2!$C$2:$C$65,$B138+1)</f>
        <v>12</v>
      </c>
      <c r="E138" s="7">
        <f>INDEX(Sheet2!$D$2:$D$65,$B138+1)</f>
        <v>5</v>
      </c>
      <c r="F138" s="7">
        <f>INDEX(Sheet3!$AY$2:$BN$11,$A138,$E138+1)</f>
        <v>0</v>
      </c>
      <c r="G138" s="7">
        <f>IF($B138&lt;16,_xlfn.BITOR(_xlfn.BITAND($K137,$L137),_xlfn.BITAND(4294967295-$K137,$M137)),IF($B138&lt;32,_xlfn.BITOR(_xlfn.BITAND($M137,$K137),_xlfn.BITAND(4294967295-$M137,$L137)),IF($B138&lt;48,_xlfn.BITXOR(_xlfn.BITXOR($K137,$L137),$M137),_xlfn.BITXOR($L137,_xlfn.BITOR($K137,4294967295-$M137)))))</f>
        <v>1238379596</v>
      </c>
      <c r="H138" s="7">
        <f>MOD($G138+$J137+$C138+$F138,4294967296)</f>
        <v>617636508</v>
      </c>
      <c r="I138" s="7">
        <f>MOD($H138,2^(32-$D138))*2^$D138+INT($H138/2^(32-$D138))</f>
        <v>103400013</v>
      </c>
      <c r="J138" s="7">
        <f>$M137</f>
        <v>1559341130</v>
      </c>
      <c r="K138" s="7">
        <f>MOD($K137+$I138,4294967296)</f>
        <v>1029281371</v>
      </c>
      <c r="L138" s="7">
        <f>$K137</f>
        <v>925881358</v>
      </c>
      <c r="M138" s="7">
        <f>$L137</f>
        <v>1094714429</v>
      </c>
    </row>
    <row r="139" spans="1:13">
      <c r="A139" s="7">
        <v>3</v>
      </c>
      <c r="B139" s="7">
        <v>6</v>
      </c>
      <c r="C139" s="7">
        <f>INDEX(Sheet2!$B$2:$B$65,$B139+1)</f>
        <v>2821735955</v>
      </c>
      <c r="D139" s="7">
        <f>INDEX(Sheet2!$C$2:$C$65,$B139+1)</f>
        <v>17</v>
      </c>
      <c r="E139" s="7">
        <f>INDEX(Sheet2!$D$2:$D$65,$B139+1)</f>
        <v>6</v>
      </c>
      <c r="F139" s="7">
        <f>INDEX(Sheet3!$AY$2:$BN$11,$A139,$E139+1)</f>
        <v>0</v>
      </c>
      <c r="G139" s="7">
        <f>IF($B139&lt;16,_xlfn.BITOR(_xlfn.BITAND($K138,$L138),_xlfn.BITAND(4294967295-$K138,$M138)),IF($B139&lt;32,_xlfn.BITOR(_xlfn.BITAND($M138,$K138),_xlfn.BITAND(4294967295-$M138,$L138)),IF($B139&lt;48,_xlfn.BITXOR(_xlfn.BITXOR($K138,$L138),$M138),_xlfn.BITXOR($L138,_xlfn.BITOR($K138,4294967295-$M138)))))</f>
        <v>1963562030</v>
      </c>
      <c r="H139" s="7">
        <f>MOD($G139+$J138+$C139+$F139,4294967296)</f>
        <v>2049671819</v>
      </c>
      <c r="I139" s="7">
        <f>MOD($H139,2^(32-$D139))*2^$D139+INT($H139/2^(32-$D139))</f>
        <v>85390423</v>
      </c>
      <c r="J139" s="7">
        <f>$M138</f>
        <v>1094714429</v>
      </c>
      <c r="K139" s="7">
        <f>MOD($K138+$I139,4294967296)</f>
        <v>1114671794</v>
      </c>
      <c r="L139" s="7">
        <f>$K138</f>
        <v>1029281371</v>
      </c>
      <c r="M139" s="7">
        <f>$L138</f>
        <v>925881358</v>
      </c>
    </row>
    <row r="140" spans="1:13">
      <c r="A140" s="7">
        <v>3</v>
      </c>
      <c r="B140" s="7">
        <v>7</v>
      </c>
      <c r="C140" s="7">
        <f>INDEX(Sheet2!$B$2:$B$65,$B140+1)</f>
        <v>4249261313</v>
      </c>
      <c r="D140" s="7">
        <f>INDEX(Sheet2!$C$2:$C$65,$B140+1)</f>
        <v>22</v>
      </c>
      <c r="E140" s="7">
        <f>INDEX(Sheet2!$D$2:$D$65,$B140+1)</f>
        <v>7</v>
      </c>
      <c r="F140" s="7">
        <f>INDEX(Sheet3!$AY$2:$BN$11,$A140,$E140+1)</f>
        <v>0</v>
      </c>
      <c r="G140" s="7">
        <f>IF($B140&lt;16,_xlfn.BITOR(_xlfn.BITAND($K139,$L139),_xlfn.BITAND(4294967295-$K139,$M139)),IF($B140&lt;32,_xlfn.BITOR(_xlfn.BITAND($M139,$K139),_xlfn.BITAND(4294967295-$M139,$L139)),IF($B140&lt;48,_xlfn.BITXOR(_xlfn.BITXOR($K139,$L139),$M139),_xlfn.BITXOR($L139,_xlfn.BITOR($K139,4294967295-$M139)))))</f>
        <v>895473182</v>
      </c>
      <c r="H140" s="7">
        <f>MOD($G140+$J139+$C140+$F140,4294967296)</f>
        <v>1944481628</v>
      </c>
      <c r="I140" s="7">
        <f>MOD($H140,2^(32-$D140))*2^$D140+INT($H140/2^(32-$D140))</f>
        <v>3609000347</v>
      </c>
      <c r="J140" s="7">
        <f>$M139</f>
        <v>925881358</v>
      </c>
      <c r="K140" s="7">
        <f>MOD($K139+$I140,4294967296)</f>
        <v>428704845</v>
      </c>
      <c r="L140" s="7">
        <f>$K139</f>
        <v>1114671794</v>
      </c>
      <c r="M140" s="7">
        <f>$L139</f>
        <v>1029281371</v>
      </c>
    </row>
    <row r="141" spans="1:13">
      <c r="A141" s="7">
        <v>3</v>
      </c>
      <c r="B141" s="7">
        <v>8</v>
      </c>
      <c r="C141" s="7">
        <f>INDEX(Sheet2!$B$2:$B$65,$B141+1)</f>
        <v>1770035416</v>
      </c>
      <c r="D141" s="7">
        <f>INDEX(Sheet2!$C$2:$C$65,$B141+1)</f>
        <v>7</v>
      </c>
      <c r="E141" s="7">
        <f>INDEX(Sheet2!$D$2:$D$65,$B141+1)</f>
        <v>8</v>
      </c>
      <c r="F141" s="7">
        <f>INDEX(Sheet3!$AY$2:$BN$11,$A141,$E141+1)</f>
        <v>0</v>
      </c>
      <c r="G141" s="7">
        <f>IF($B141&lt;16,_xlfn.BITOR(_xlfn.BITAND($K140,$L140),_xlfn.BITAND(4294967295-$K140,$M140)),IF($B141&lt;32,_xlfn.BITOR(_xlfn.BITAND($M140,$K140),_xlfn.BITAND(4294967295-$M140,$L140)),IF($B141&lt;48,_xlfn.BITXOR(_xlfn.BITXOR($K140,$L140),$M140),_xlfn.BITXOR($L140,_xlfn.BITOR($K140,4294967295-$M140)))))</f>
        <v>609260050</v>
      </c>
      <c r="H141" s="7">
        <f>MOD($G141+$J140+$C141+$F141,4294967296)</f>
        <v>3305176824</v>
      </c>
      <c r="I141" s="7">
        <f>MOD($H141,2^(32-$D141))*2^$D141+INT($H141/2^(32-$D141))</f>
        <v>2155838562</v>
      </c>
      <c r="J141" s="7">
        <f>$M140</f>
        <v>1029281371</v>
      </c>
      <c r="K141" s="7">
        <f>MOD($K140+$I141,4294967296)</f>
        <v>2584543407</v>
      </c>
      <c r="L141" s="7">
        <f>$K140</f>
        <v>428704845</v>
      </c>
      <c r="M141" s="7">
        <f>$L140</f>
        <v>1114671794</v>
      </c>
    </row>
    <row r="142" spans="1:13">
      <c r="A142" s="7">
        <v>3</v>
      </c>
      <c r="B142" s="7">
        <v>9</v>
      </c>
      <c r="C142" s="7">
        <f>INDEX(Sheet2!$B$2:$B$65,$B142+1)</f>
        <v>2336552879</v>
      </c>
      <c r="D142" s="7">
        <f>INDEX(Sheet2!$C$2:$C$65,$B142+1)</f>
        <v>12</v>
      </c>
      <c r="E142" s="7">
        <f>INDEX(Sheet2!$D$2:$D$65,$B142+1)</f>
        <v>9</v>
      </c>
      <c r="F142" s="7">
        <f>INDEX(Sheet3!$AY$2:$BN$11,$A142,$E142+1)</f>
        <v>0</v>
      </c>
      <c r="G142" s="7">
        <f>IF($B142&lt;16,_xlfn.BITOR(_xlfn.BITAND($K141,$L141),_xlfn.BITAND(4294967295-$K141,$M141)),IF($B142&lt;32,_xlfn.BITOR(_xlfn.BITAND($M141,$K141),_xlfn.BITAND(4294967295-$M141,$L141)),IF($B142&lt;48,_xlfn.BITXOR(_xlfn.BITXOR($K141,$L141),$M141),_xlfn.BITXOR($L141,_xlfn.BITOR($K141,4294967295-$M141)))))</f>
        <v>1484622365</v>
      </c>
      <c r="H142" s="7">
        <f>MOD($G142+$J141+$C142+$F142,4294967296)</f>
        <v>555489319</v>
      </c>
      <c r="I142" s="7">
        <f>MOD($H142,2^(32-$D142))*2^$D142+INT($H142/2^(32-$D142))</f>
        <v>3246551569</v>
      </c>
      <c r="J142" s="7">
        <f>$M141</f>
        <v>1114671794</v>
      </c>
      <c r="K142" s="7">
        <f>MOD($K141+$I142,4294967296)</f>
        <v>1536127680</v>
      </c>
      <c r="L142" s="7">
        <f>$K141</f>
        <v>2584543407</v>
      </c>
      <c r="M142" s="7">
        <f>$L141</f>
        <v>428704845</v>
      </c>
    </row>
    <row r="143" spans="1:13">
      <c r="A143" s="7">
        <v>3</v>
      </c>
      <c r="B143" s="7">
        <v>10</v>
      </c>
      <c r="C143" s="7">
        <f>INDEX(Sheet2!$B$2:$B$65,$B143+1)</f>
        <v>4294925233</v>
      </c>
      <c r="D143" s="7">
        <f>INDEX(Sheet2!$C$2:$C$65,$B143+1)</f>
        <v>17</v>
      </c>
      <c r="E143" s="7">
        <f>INDEX(Sheet2!$D$2:$D$65,$B143+1)</f>
        <v>10</v>
      </c>
      <c r="F143" s="7">
        <f>INDEX(Sheet3!$AY$2:$BN$11,$A143,$E143+1)</f>
        <v>0</v>
      </c>
      <c r="G143" s="7">
        <f>IF($B143&lt;16,_xlfn.BITOR(_xlfn.BITAND($K142,$L142),_xlfn.BITAND(4294967295-$K142,$M142)),IF($B143&lt;32,_xlfn.BITOR(_xlfn.BITAND($M142,$K142),_xlfn.BITAND(4294967295-$M142,$L142)),IF($B143&lt;48,_xlfn.BITXOR(_xlfn.BITXOR($K142,$L142),$M142),_xlfn.BITXOR($L142,_xlfn.BITOR($K142,4294967295-$M142)))))</f>
        <v>437093517</v>
      </c>
      <c r="H143" s="7">
        <f>MOD($G143+$J142+$C143+$F143,4294967296)</f>
        <v>1551723248</v>
      </c>
      <c r="I143" s="7">
        <f>MOD($H143,2^(32-$D143))*2^$D143+INT($H143/2^(32-$D143))</f>
        <v>3588274426</v>
      </c>
      <c r="J143" s="7">
        <f>$M142</f>
        <v>428704845</v>
      </c>
      <c r="K143" s="7">
        <f>MOD($K142+$I143,4294967296)</f>
        <v>829434810</v>
      </c>
      <c r="L143" s="7">
        <f>$K142</f>
        <v>1536127680</v>
      </c>
      <c r="M143" s="7">
        <f>$L142</f>
        <v>2584543407</v>
      </c>
    </row>
    <row r="144" spans="1:13">
      <c r="A144" s="7">
        <v>3</v>
      </c>
      <c r="B144" s="7">
        <v>11</v>
      </c>
      <c r="C144" s="7">
        <f>INDEX(Sheet2!$B$2:$B$65,$B144+1)</f>
        <v>2304563134</v>
      </c>
      <c r="D144" s="7">
        <f>INDEX(Sheet2!$C$2:$C$65,$B144+1)</f>
        <v>22</v>
      </c>
      <c r="E144" s="7">
        <f>INDEX(Sheet2!$D$2:$D$65,$B144+1)</f>
        <v>11</v>
      </c>
      <c r="F144" s="7">
        <f>INDEX(Sheet3!$AY$2:$BN$11,$A144,$E144+1)</f>
        <v>0</v>
      </c>
      <c r="G144" s="7">
        <f>IF($B144&lt;16,_xlfn.BITOR(_xlfn.BITAND($K143,$L143),_xlfn.BITAND(4294967295-$K143,$M143)),IF($B144&lt;32,_xlfn.BITOR(_xlfn.BITAND($M143,$K143),_xlfn.BITAND(4294967295-$M143,$L143)),IF($B144&lt;48,_xlfn.BITXOR(_xlfn.BITXOR($K143,$L143),$M143),_xlfn.BITXOR($L143,_xlfn.BITOR($K143,4294967295-$M143)))))</f>
        <v>2601329285</v>
      </c>
      <c r="H144" s="7">
        <f>MOD($G144+$J143+$C144+$F144,4294967296)</f>
        <v>1039629968</v>
      </c>
      <c r="I144" s="7">
        <f>MOD($H144,2^(32-$D144))*2^$D144+INT($H144/2^(32-$D144))</f>
        <v>2752478687</v>
      </c>
      <c r="J144" s="7">
        <f>$M143</f>
        <v>2584543407</v>
      </c>
      <c r="K144" s="7">
        <f>MOD($K143+$I144,4294967296)</f>
        <v>3581913497</v>
      </c>
      <c r="L144" s="7">
        <f>$K143</f>
        <v>829434810</v>
      </c>
      <c r="M144" s="7">
        <f>$L143</f>
        <v>1536127680</v>
      </c>
    </row>
    <row r="145" spans="1:13">
      <c r="A145" s="7">
        <v>3</v>
      </c>
      <c r="B145" s="7">
        <v>12</v>
      </c>
      <c r="C145" s="7">
        <f>INDEX(Sheet2!$B$2:$B$65,$B145+1)</f>
        <v>1804603682</v>
      </c>
      <c r="D145" s="7">
        <f>INDEX(Sheet2!$C$2:$C$65,$B145+1)</f>
        <v>7</v>
      </c>
      <c r="E145" s="7">
        <f>INDEX(Sheet2!$D$2:$D$65,$B145+1)</f>
        <v>12</v>
      </c>
      <c r="F145" s="7">
        <f>INDEX(Sheet3!$AY$2:$BN$11,$A145,$E145+1)</f>
        <v>0</v>
      </c>
      <c r="G145" s="7">
        <f>IF($B145&lt;16,_xlfn.BITOR(_xlfn.BITAND($K144,$L144),_xlfn.BITAND(4294967295-$K144,$M144)),IF($B145&lt;32,_xlfn.BITOR(_xlfn.BITAND($M144,$K144),_xlfn.BITAND(4294967295-$M144,$L144)),IF($B145&lt;48,_xlfn.BITXOR(_xlfn.BITXOR($K144,$L144),$M144),_xlfn.BITXOR($L144,_xlfn.BITOR($K144,4294967295-$M144)))))</f>
        <v>468745176</v>
      </c>
      <c r="H145" s="7">
        <f>MOD($G145+$J144+$C145+$F145,4294967296)</f>
        <v>562924969</v>
      </c>
      <c r="I145" s="7">
        <f>MOD($H145,2^(32-$D145))*2^$D145+INT($H145/2^(32-$D145))</f>
        <v>3334919312</v>
      </c>
      <c r="J145" s="7">
        <f>$M144</f>
        <v>1536127680</v>
      </c>
      <c r="K145" s="7">
        <f>MOD($K144+$I145,4294967296)</f>
        <v>2621865513</v>
      </c>
      <c r="L145" s="7">
        <f>$K144</f>
        <v>3581913497</v>
      </c>
      <c r="M145" s="7">
        <f>$L144</f>
        <v>829434810</v>
      </c>
    </row>
    <row r="146" spans="1:13">
      <c r="A146" s="7">
        <v>3</v>
      </c>
      <c r="B146" s="7">
        <v>13</v>
      </c>
      <c r="C146" s="7">
        <f>INDEX(Sheet2!$B$2:$B$65,$B146+1)</f>
        <v>4254626195</v>
      </c>
      <c r="D146" s="7">
        <f>INDEX(Sheet2!$C$2:$C$65,$B146+1)</f>
        <v>12</v>
      </c>
      <c r="E146" s="7">
        <f>INDEX(Sheet2!$D$2:$D$65,$B146+1)</f>
        <v>13</v>
      </c>
      <c r="F146" s="7">
        <f>INDEX(Sheet3!$AY$2:$BN$11,$A146,$E146+1)</f>
        <v>0</v>
      </c>
      <c r="G146" s="7">
        <f>IF($B146&lt;16,_xlfn.BITOR(_xlfn.BITAND($K145,$L145),_xlfn.BITAND(4294967295-$K145,$M145)),IF($B146&lt;32,_xlfn.BITOR(_xlfn.BITAND($M145,$K145),_xlfn.BITAND(4294967295-$M145,$L145)),IF($B146&lt;48,_xlfn.BITXOR(_xlfn.BITXOR($K145,$L145),$M145),_xlfn.BITXOR($L145,_xlfn.BITOR($K145,4294967295-$M145)))))</f>
        <v>3044419995</v>
      </c>
      <c r="H146" s="7">
        <f>MOD($G146+$J145+$C146+$F146,4294967296)</f>
        <v>245239278</v>
      </c>
      <c r="I146" s="7">
        <f>MOD($H146,2^(32-$D146))*2^$D146+INT($H146/2^(32-$D146))</f>
        <v>3772702953</v>
      </c>
      <c r="J146" s="7">
        <f>$M145</f>
        <v>829434810</v>
      </c>
      <c r="K146" s="7">
        <f>MOD($K145+$I146,4294967296)</f>
        <v>2099601170</v>
      </c>
      <c r="L146" s="7">
        <f>$K145</f>
        <v>2621865513</v>
      </c>
      <c r="M146" s="7">
        <f>$L145</f>
        <v>3581913497</v>
      </c>
    </row>
    <row r="147" spans="1:13">
      <c r="A147" s="7">
        <v>3</v>
      </c>
      <c r="B147" s="7">
        <v>14</v>
      </c>
      <c r="C147" s="7">
        <f>INDEX(Sheet2!$B$2:$B$65,$B147+1)</f>
        <v>2792965006</v>
      </c>
      <c r="D147" s="7">
        <f>INDEX(Sheet2!$C$2:$C$65,$B147+1)</f>
        <v>17</v>
      </c>
      <c r="E147" s="7">
        <f>INDEX(Sheet2!$D$2:$D$65,$B147+1)</f>
        <v>14</v>
      </c>
      <c r="F147" s="7">
        <f>INDEX(Sheet3!$AY$2:$BN$11,$A147,$E147+1)</f>
        <v>152</v>
      </c>
      <c r="G147" s="7">
        <f>IF($B147&lt;16,_xlfn.BITOR(_xlfn.BITAND($K146,$L146),_xlfn.BITAND(4294967295-$K146,$M146)),IF($B147&lt;32,_xlfn.BITOR(_xlfn.BITAND($M146,$K146),_xlfn.BITAND(4294967295-$M146,$L146)),IF($B147&lt;48,_xlfn.BITXOR(_xlfn.BITXOR($K146,$L146),$M146),_xlfn.BITXOR($L146,_xlfn.BITOR($K146,4294967295-$M146)))))</f>
        <v>2623471241</v>
      </c>
      <c r="H147" s="7">
        <f>MOD($G147+$J146+$C147+$F147,4294967296)</f>
        <v>1950903913</v>
      </c>
      <c r="I147" s="7">
        <f>MOD($H147,2^(32-$D147))*2^$D147+INT($H147/2^(32-$D147))</f>
        <v>3704809616</v>
      </c>
      <c r="J147" s="7">
        <f>$M146</f>
        <v>3581913497</v>
      </c>
      <c r="K147" s="7">
        <f>MOD($K146+$I147,4294967296)</f>
        <v>1509443490</v>
      </c>
      <c r="L147" s="7">
        <f>$K146</f>
        <v>2099601170</v>
      </c>
      <c r="M147" s="7">
        <f>$L146</f>
        <v>2621865513</v>
      </c>
    </row>
    <row r="148" spans="1:13">
      <c r="A148" s="7">
        <v>3</v>
      </c>
      <c r="B148" s="7">
        <v>15</v>
      </c>
      <c r="C148" s="7">
        <f>INDEX(Sheet2!$B$2:$B$65,$B148+1)</f>
        <v>1236535329</v>
      </c>
      <c r="D148" s="7">
        <f>INDEX(Sheet2!$C$2:$C$65,$B148+1)</f>
        <v>22</v>
      </c>
      <c r="E148" s="7">
        <f>INDEX(Sheet2!$D$2:$D$65,$B148+1)</f>
        <v>15</v>
      </c>
      <c r="F148" s="7">
        <f>INDEX(Sheet3!$AY$2:$BN$11,$A148,$E148+1)</f>
        <v>0</v>
      </c>
      <c r="G148" s="7">
        <f>IF($B148&lt;16,_xlfn.BITOR(_xlfn.BITAND($K147,$L147),_xlfn.BITAND(4294967295-$K147,$M147)),IF($B148&lt;32,_xlfn.BITOR(_xlfn.BITAND($M147,$K147),_xlfn.BITAND(4294967295-$M147,$L147)),IF($B148&lt;48,_xlfn.BITXOR(_xlfn.BITXOR($K147,$L147),$M147),_xlfn.BITXOR($L147,_xlfn.BITOR($K147,4294967295-$M147)))))</f>
        <v>3710287627</v>
      </c>
      <c r="H148" s="7">
        <f>MOD($G148+$J147+$C148+$F148,4294967296)</f>
        <v>4233769157</v>
      </c>
      <c r="I148" s="7">
        <f>MOD($H148,2^(32-$D148))*2^$D148+INT($H148/2^(32-$D148))</f>
        <v>830412428</v>
      </c>
      <c r="J148" s="7">
        <f>$M147</f>
        <v>2621865513</v>
      </c>
      <c r="K148" s="7">
        <f>MOD($K147+$I148,4294967296)</f>
        <v>2339855918</v>
      </c>
      <c r="L148" s="7">
        <f>$K147</f>
        <v>1509443490</v>
      </c>
      <c r="M148" s="7">
        <f>$L147</f>
        <v>2099601170</v>
      </c>
    </row>
    <row r="149" spans="1:13">
      <c r="A149" s="7">
        <v>3</v>
      </c>
      <c r="B149" s="7">
        <v>16</v>
      </c>
      <c r="C149" s="7">
        <f>INDEX(Sheet2!$B$2:$B$65,$B149+1)</f>
        <v>4129170786</v>
      </c>
      <c r="D149" s="7">
        <f>INDEX(Sheet2!$C$2:$C$65,$B149+1)</f>
        <v>5</v>
      </c>
      <c r="E149" s="7">
        <f>INDEX(Sheet2!$D$2:$D$65,$B149+1)</f>
        <v>1</v>
      </c>
      <c r="F149" s="7">
        <f>INDEX(Sheet3!$AY$2:$BN$11,$A149,$E149+1)</f>
        <v>862876511</v>
      </c>
      <c r="G149" s="7">
        <f>IF($B149&lt;16,_xlfn.BITOR(_xlfn.BITAND($K148,$L148),_xlfn.BITAND(4294967295-$K148,$M148)),IF($B149&lt;32,_xlfn.BITOR(_xlfn.BITAND($M148,$K148),_xlfn.BITAND(4294967295-$M148,$L148)),IF($B149&lt;48,_xlfn.BITXOR(_xlfn.BITXOR($K148,$L148),$M148),_xlfn.BITXOR($L148,_xlfn.BITOR($K148,4294967295-$M148)))))</f>
        <v>167599778</v>
      </c>
      <c r="H149" s="7">
        <f>MOD($G149+$J148+$C149+$F149,4294967296)</f>
        <v>3486545292</v>
      </c>
      <c r="I149" s="7">
        <f>MOD($H149,2^(32-$D149))*2^$D149+INT($H149/2^(32-$D149))</f>
        <v>4195266969</v>
      </c>
      <c r="J149" s="7">
        <f>$M148</f>
        <v>2099601170</v>
      </c>
      <c r="K149" s="7">
        <f>MOD($K148+$I149,4294967296)</f>
        <v>2240155591</v>
      </c>
      <c r="L149" s="7">
        <f>$K148</f>
        <v>2339855918</v>
      </c>
      <c r="M149" s="7">
        <f>$L148</f>
        <v>1509443490</v>
      </c>
    </row>
    <row r="150" spans="1:13">
      <c r="A150" s="7">
        <v>3</v>
      </c>
      <c r="B150" s="7">
        <v>17</v>
      </c>
      <c r="C150" s="7">
        <f>INDEX(Sheet2!$B$2:$B$65,$B150+1)</f>
        <v>3225465664</v>
      </c>
      <c r="D150" s="7">
        <f>INDEX(Sheet2!$C$2:$C$65,$B150+1)</f>
        <v>9</v>
      </c>
      <c r="E150" s="7">
        <f>INDEX(Sheet2!$D$2:$D$65,$B150+1)</f>
        <v>6</v>
      </c>
      <c r="F150" s="7">
        <f>INDEX(Sheet3!$AY$2:$BN$11,$A150,$E150+1)</f>
        <v>0</v>
      </c>
      <c r="G150" s="7">
        <f>IF($B150&lt;16,_xlfn.BITOR(_xlfn.BITAND($K149,$L149),_xlfn.BITAND(4294967295-$K149,$M149)),IF($B150&lt;32,_xlfn.BITOR(_xlfn.BITAND($M149,$K149),_xlfn.BITAND(4294967295-$M149,$L149)),IF($B150&lt;48,_xlfn.BITXOR(_xlfn.BITXOR($K149,$L149),$M149),_xlfn.BITXOR($L149,_xlfn.BITOR($K149,4294967295-$M149)))))</f>
        <v>2206670734</v>
      </c>
      <c r="H150" s="7">
        <f>MOD($G150+$J149+$C150+$F150,4294967296)</f>
        <v>3236770272</v>
      </c>
      <c r="I150" s="7">
        <f>MOD($H150,2^(32-$D150))*2^$D150+INT($H150/2^(32-$D150))</f>
        <v>3663970689</v>
      </c>
      <c r="J150" s="7">
        <f>$M149</f>
        <v>1509443490</v>
      </c>
      <c r="K150" s="7">
        <f>MOD($K149+$I150,4294967296)</f>
        <v>1609158984</v>
      </c>
      <c r="L150" s="7">
        <f>$K149</f>
        <v>2240155591</v>
      </c>
      <c r="M150" s="7">
        <f>$L149</f>
        <v>2339855918</v>
      </c>
    </row>
    <row r="151" spans="1:13">
      <c r="A151" s="7">
        <v>3</v>
      </c>
      <c r="B151" s="7">
        <v>18</v>
      </c>
      <c r="C151" s="7">
        <f>INDEX(Sheet2!$B$2:$B$65,$B151+1)</f>
        <v>643717713</v>
      </c>
      <c r="D151" s="7">
        <f>INDEX(Sheet2!$C$2:$C$65,$B151+1)</f>
        <v>14</v>
      </c>
      <c r="E151" s="7">
        <f>INDEX(Sheet2!$D$2:$D$65,$B151+1)</f>
        <v>11</v>
      </c>
      <c r="F151" s="7">
        <f>INDEX(Sheet3!$AY$2:$BN$11,$A151,$E151+1)</f>
        <v>0</v>
      </c>
      <c r="G151" s="7">
        <f>IF($B151&lt;16,_xlfn.BITOR(_xlfn.BITAND($K150,$L150),_xlfn.BITAND(4294967295-$K150,$M150)),IF($B151&lt;32,_xlfn.BITOR(_xlfn.BITAND($M150,$K150),_xlfn.BITAND(4294967295-$M150,$L150)),IF($B151&lt;48,_xlfn.BITXOR(_xlfn.BITXOR($K150,$L150),$M150),_xlfn.BITXOR($L150,_xlfn.BITOR($K150,4294967295-$M150)))))</f>
        <v>266424777</v>
      </c>
      <c r="H151" s="7">
        <f>MOD($G151+$J150+$C151+$F151,4294967296)</f>
        <v>2419585980</v>
      </c>
      <c r="I151" s="7">
        <f>MOD($H151,2^(32-$D151))*2^$D151+INT($H151/2^(32-$D151))</f>
        <v>4243530765</v>
      </c>
      <c r="J151" s="7">
        <f>$M150</f>
        <v>2339855918</v>
      </c>
      <c r="K151" s="7">
        <f>MOD($K150+$I151,4294967296)</f>
        <v>1557722453</v>
      </c>
      <c r="L151" s="7">
        <f>$K150</f>
        <v>1609158984</v>
      </c>
      <c r="M151" s="7">
        <f>$L150</f>
        <v>2240155591</v>
      </c>
    </row>
    <row r="152" spans="1:13">
      <c r="A152" s="7">
        <v>3</v>
      </c>
      <c r="B152" s="7">
        <v>19</v>
      </c>
      <c r="C152" s="7">
        <f>INDEX(Sheet2!$B$2:$B$65,$B152+1)</f>
        <v>3921069994</v>
      </c>
      <c r="D152" s="7">
        <f>INDEX(Sheet2!$C$2:$C$65,$B152+1)</f>
        <v>20</v>
      </c>
      <c r="E152" s="7">
        <f>INDEX(Sheet2!$D$2:$D$65,$B152+1)</f>
        <v>0</v>
      </c>
      <c r="F152" s="7">
        <f>INDEX(Sheet3!$AY$2:$BN$11,$A152,$E152+1)</f>
        <v>1701654643</v>
      </c>
      <c r="G152" s="7">
        <f>IF($B152&lt;16,_xlfn.BITOR(_xlfn.BITAND($K151,$L151),_xlfn.BITAND(4294967295-$K151,$M151)),IF($B152&lt;32,_xlfn.BITOR(_xlfn.BITAND($M151,$K151),_xlfn.BITAND(4294967295-$M151,$L151)),IF($B152&lt;48,_xlfn.BITXOR(_xlfn.BITXOR($K151,$L151),$M151),_xlfn.BITXOR($L151,_xlfn.BITOR($K151,4294967295-$M151)))))</f>
        <v>1592382797</v>
      </c>
      <c r="H152" s="7">
        <f>MOD($G152+$J151+$C152+$F152,4294967296)</f>
        <v>965028760</v>
      </c>
      <c r="I152" s="7">
        <f>MOD($H152,2^(32-$D152))*2^$D152+INT($H152/2^(32-$D152))</f>
        <v>3112409170</v>
      </c>
      <c r="J152" s="7">
        <f>$M151</f>
        <v>2240155591</v>
      </c>
      <c r="K152" s="7">
        <f>MOD($K151+$I152,4294967296)</f>
        <v>375164327</v>
      </c>
      <c r="L152" s="7">
        <f>$K151</f>
        <v>1557722453</v>
      </c>
      <c r="M152" s="7">
        <f>$L151</f>
        <v>1609158984</v>
      </c>
    </row>
    <row r="153" spans="1:13">
      <c r="A153" s="7">
        <v>3</v>
      </c>
      <c r="B153" s="7">
        <v>20</v>
      </c>
      <c r="C153" s="7">
        <f>INDEX(Sheet2!$B$2:$B$65,$B153+1)</f>
        <v>3593408605</v>
      </c>
      <c r="D153" s="7">
        <f>INDEX(Sheet2!$C$2:$C$65,$B153+1)</f>
        <v>5</v>
      </c>
      <c r="E153" s="7">
        <f>INDEX(Sheet2!$D$2:$D$65,$B153+1)</f>
        <v>5</v>
      </c>
      <c r="F153" s="7">
        <f>INDEX(Sheet3!$AY$2:$BN$11,$A153,$E153+1)</f>
        <v>0</v>
      </c>
      <c r="G153" s="7">
        <f>IF($B153&lt;16,_xlfn.BITOR(_xlfn.BITAND($K152,$L152),_xlfn.BITAND(4294967295-$K152,$M152)),IF($B153&lt;32,_xlfn.BITOR(_xlfn.BITAND($M152,$K152),_xlfn.BITAND(4294967295-$M152,$L152)),IF($B153&lt;48,_xlfn.BITXOR(_xlfn.BITXOR($K152,$L152),$M152),_xlfn.BITXOR($L152,_xlfn.BITOR($K152,4294967295-$M152)))))</f>
        <v>374908181</v>
      </c>
      <c r="H153" s="7">
        <f>MOD($G153+$J152+$C153+$F153,4294967296)</f>
        <v>1913505081</v>
      </c>
      <c r="I153" s="7">
        <f>MOD($H153,2^(32-$D153))*2^$D153+INT($H153/2^(32-$D153))</f>
        <v>1102620462</v>
      </c>
      <c r="J153" s="7">
        <f>$M152</f>
        <v>1609158984</v>
      </c>
      <c r="K153" s="7">
        <f>MOD($K152+$I153,4294967296)</f>
        <v>1477784789</v>
      </c>
      <c r="L153" s="7">
        <f>$K152</f>
        <v>375164327</v>
      </c>
      <c r="M153" s="7">
        <f>$L152</f>
        <v>1557722453</v>
      </c>
    </row>
    <row r="154" spans="1:13">
      <c r="A154" s="7">
        <v>3</v>
      </c>
      <c r="B154" s="7">
        <v>21</v>
      </c>
      <c r="C154" s="7">
        <f>INDEX(Sheet2!$B$2:$B$65,$B154+1)</f>
        <v>38016083</v>
      </c>
      <c r="D154" s="7">
        <f>INDEX(Sheet2!$C$2:$C$65,$B154+1)</f>
        <v>9</v>
      </c>
      <c r="E154" s="7">
        <f>INDEX(Sheet2!$D$2:$D$65,$B154+1)</f>
        <v>10</v>
      </c>
      <c r="F154" s="7">
        <f>INDEX(Sheet3!$AY$2:$BN$11,$A154,$E154+1)</f>
        <v>0</v>
      </c>
      <c r="G154" s="7">
        <f>IF($B154&lt;16,_xlfn.BITOR(_xlfn.BITAND($K153,$L153),_xlfn.BITAND(4294967295-$K153,$M153)),IF($B154&lt;32,_xlfn.BITOR(_xlfn.BITAND($M153,$K153),_xlfn.BITAND(4294967295-$M153,$L153)),IF($B154&lt;48,_xlfn.BITXOR(_xlfn.BITXOR($K153,$L153),$M153),_xlfn.BITXOR($L153,_xlfn.BITOR($K153,4294967295-$M153)))))</f>
        <v>1511275767</v>
      </c>
      <c r="H154" s="7">
        <f>MOD($G154+$J153+$C154+$F154,4294967296)</f>
        <v>3158450834</v>
      </c>
      <c r="I154" s="7">
        <f>MOD($H154,2^(32-$D154))*2^$D154+INT($H154/2^(32-$D154))</f>
        <v>2219124088</v>
      </c>
      <c r="J154" s="7">
        <f>$M153</f>
        <v>1557722453</v>
      </c>
      <c r="K154" s="7">
        <f>MOD($K153+$I154,4294967296)</f>
        <v>3696908877</v>
      </c>
      <c r="L154" s="7">
        <f>$K153</f>
        <v>1477784789</v>
      </c>
      <c r="M154" s="7">
        <f>$L153</f>
        <v>375164327</v>
      </c>
    </row>
    <row r="155" spans="1:13">
      <c r="A155" s="7">
        <v>3</v>
      </c>
      <c r="B155" s="7">
        <v>22</v>
      </c>
      <c r="C155" s="7">
        <f>INDEX(Sheet2!$B$2:$B$65,$B155+1)</f>
        <v>3634488961</v>
      </c>
      <c r="D155" s="7">
        <f>INDEX(Sheet2!$C$2:$C$65,$B155+1)</f>
        <v>14</v>
      </c>
      <c r="E155" s="7">
        <f>INDEX(Sheet2!$D$2:$D$65,$B155+1)</f>
        <v>15</v>
      </c>
      <c r="F155" s="7">
        <f>INDEX(Sheet3!$AY$2:$BN$11,$A155,$E155+1)</f>
        <v>0</v>
      </c>
      <c r="G155" s="7">
        <f>IF($B155&lt;16,_xlfn.BITOR(_xlfn.BITAND($K154,$L154),_xlfn.BITAND(4294967295-$K154,$M154)),IF($B155&lt;32,_xlfn.BITOR(_xlfn.BITAND($M154,$K154),_xlfn.BITAND(4294967295-$M154,$L154)),IF($B155&lt;48,_xlfn.BITXOR(_xlfn.BITXOR($K154,$L154),$M154),_xlfn.BITXOR($L154,_xlfn.BITOR($K154,4294967295-$M154)))))</f>
        <v>1549350997</v>
      </c>
      <c r="H155" s="7">
        <f>MOD($G155+$J154+$C155+$F155,4294967296)</f>
        <v>2446595115</v>
      </c>
      <c r="I155" s="7">
        <f>MOD($H155,2^(32-$D155))*2^$D155+INT($H155/2^(32-$D155))</f>
        <v>84599925</v>
      </c>
      <c r="J155" s="7">
        <f>$M154</f>
        <v>375164327</v>
      </c>
      <c r="K155" s="7">
        <f>MOD($K154+$I155,4294967296)</f>
        <v>3781508802</v>
      </c>
      <c r="L155" s="7">
        <f>$K154</f>
        <v>3696908877</v>
      </c>
      <c r="M155" s="7">
        <f>$L154</f>
        <v>1477784789</v>
      </c>
    </row>
    <row r="156" spans="1:13">
      <c r="A156" s="7">
        <v>3</v>
      </c>
      <c r="B156" s="7">
        <v>23</v>
      </c>
      <c r="C156" s="7">
        <f>INDEX(Sheet2!$B$2:$B$65,$B156+1)</f>
        <v>3889429448</v>
      </c>
      <c r="D156" s="7">
        <f>INDEX(Sheet2!$C$2:$C$65,$B156+1)</f>
        <v>20</v>
      </c>
      <c r="E156" s="7">
        <f>INDEX(Sheet2!$D$2:$D$65,$B156+1)</f>
        <v>4</v>
      </c>
      <c r="F156" s="7">
        <f>INDEX(Sheet3!$AY$2:$BN$11,$A156,$E156+1)</f>
        <v>2151628607</v>
      </c>
      <c r="G156" s="7">
        <f>IF($B156&lt;16,_xlfn.BITOR(_xlfn.BITAND($K155,$L155),_xlfn.BITAND(4294967295-$K155,$M155)),IF($B156&lt;32,_xlfn.BITOR(_xlfn.BITAND($M155,$K155),_xlfn.BITAND(4294967295-$M155,$L155)),IF($B156&lt;48,_xlfn.BITXOR(_xlfn.BITXOR($K155,$L155),$M155),_xlfn.BITXOR($L155,_xlfn.BITOR($K155,4294967295-$M155)))))</f>
        <v>3293544136</v>
      </c>
      <c r="H156" s="7">
        <f>MOD($G156+$J155+$C156+$F156,4294967296)</f>
        <v>1119831926</v>
      </c>
      <c r="I156" s="7">
        <f>MOD($H156,2^(32-$D156))*2^$D156+INT($H156/2^(32-$D156))</f>
        <v>2003053556</v>
      </c>
      <c r="J156" s="7">
        <f>$M155</f>
        <v>1477784789</v>
      </c>
      <c r="K156" s="7">
        <f>MOD($K155+$I156,4294967296)</f>
        <v>1489595062</v>
      </c>
      <c r="L156" s="7">
        <f>$K155</f>
        <v>3781508802</v>
      </c>
      <c r="M156" s="7">
        <f>$L155</f>
        <v>3696908877</v>
      </c>
    </row>
    <row r="157" spans="1:13">
      <c r="A157" s="7">
        <v>3</v>
      </c>
      <c r="B157" s="7">
        <v>24</v>
      </c>
      <c r="C157" s="7">
        <f>INDEX(Sheet2!$B$2:$B$65,$B157+1)</f>
        <v>568446438</v>
      </c>
      <c r="D157" s="7">
        <f>INDEX(Sheet2!$C$2:$C$65,$B157+1)</f>
        <v>5</v>
      </c>
      <c r="E157" s="7">
        <f>INDEX(Sheet2!$D$2:$D$65,$B157+1)</f>
        <v>9</v>
      </c>
      <c r="F157" s="7">
        <f>INDEX(Sheet3!$AY$2:$BN$11,$A157,$E157+1)</f>
        <v>0</v>
      </c>
      <c r="G157" s="7">
        <f>IF($B157&lt;16,_xlfn.BITOR(_xlfn.BITAND($K156,$L156),_xlfn.BITAND(4294967295-$K156,$M156)),IF($B157&lt;32,_xlfn.BITOR(_xlfn.BITAND($M156,$K156),_xlfn.BITAND(4294967295-$M156,$L156)),IF($B157&lt;48,_xlfn.BITXOR(_xlfn.BITXOR($K156,$L156),$M156),_xlfn.BITXOR($L156,_xlfn.BITOR($K156,4294967295-$M156)))))</f>
        <v>2037214854</v>
      </c>
      <c r="H157" s="7">
        <f>MOD($G157+$J156+$C157+$F157,4294967296)</f>
        <v>4083446081</v>
      </c>
      <c r="I157" s="7">
        <f>MOD($H157,2^(32-$D157))*2^$D157+INT($H157/2^(32-$D157))</f>
        <v>1821255742</v>
      </c>
      <c r="J157" s="7">
        <f>$M156</f>
        <v>3696908877</v>
      </c>
      <c r="K157" s="7">
        <f>MOD($K156+$I157,4294967296)</f>
        <v>3310850804</v>
      </c>
      <c r="L157" s="7">
        <f>$K156</f>
        <v>1489595062</v>
      </c>
      <c r="M157" s="7">
        <f>$L156</f>
        <v>3781508802</v>
      </c>
    </row>
    <row r="158" spans="1:13">
      <c r="A158" s="7">
        <v>3</v>
      </c>
      <c r="B158" s="7">
        <v>25</v>
      </c>
      <c r="C158" s="7">
        <f>INDEX(Sheet2!$B$2:$B$65,$B158+1)</f>
        <v>3275163606</v>
      </c>
      <c r="D158" s="7">
        <f>INDEX(Sheet2!$C$2:$C$65,$B158+1)</f>
        <v>9</v>
      </c>
      <c r="E158" s="7">
        <f>INDEX(Sheet2!$D$2:$D$65,$B158+1)</f>
        <v>14</v>
      </c>
      <c r="F158" s="7">
        <f>INDEX(Sheet3!$AY$2:$BN$11,$A158,$E158+1)</f>
        <v>152</v>
      </c>
      <c r="G158" s="7">
        <f>IF($B158&lt;16,_xlfn.BITOR(_xlfn.BITAND($K157,$L157),_xlfn.BITAND(4294967295-$K157,$M157)),IF($B158&lt;32,_xlfn.BITOR(_xlfn.BITAND($M157,$K157),_xlfn.BITAND(4294967295-$M157,$L157)),IF($B158&lt;48,_xlfn.BITXOR(_xlfn.BITXOR($K157,$L157),$M157),_xlfn.BITXOR($L157,_xlfn.BITOR($K157,4294967295-$M157)))))</f>
        <v>3654111988</v>
      </c>
      <c r="H158" s="7">
        <f>MOD($G158+$J157+$C158+$F158,4294967296)</f>
        <v>2036250031</v>
      </c>
      <c r="I158" s="7">
        <f>MOD($H158,2^(32-$D158))*2^$D158+INT($H158/2^(32-$D158))</f>
        <v>3177930482</v>
      </c>
      <c r="J158" s="7">
        <f>$M157</f>
        <v>3781508802</v>
      </c>
      <c r="K158" s="7">
        <f>MOD($K157+$I158,4294967296)</f>
        <v>2193813990</v>
      </c>
      <c r="L158" s="7">
        <f>$K157</f>
        <v>3310850804</v>
      </c>
      <c r="M158" s="7">
        <f>$L157</f>
        <v>1489595062</v>
      </c>
    </row>
    <row r="159" spans="1:13">
      <c r="A159" s="7">
        <v>3</v>
      </c>
      <c r="B159" s="7">
        <v>26</v>
      </c>
      <c r="C159" s="7">
        <f>INDEX(Sheet2!$B$2:$B$65,$B159+1)</f>
        <v>4107603335</v>
      </c>
      <c r="D159" s="7">
        <f>INDEX(Sheet2!$C$2:$C$65,$B159+1)</f>
        <v>14</v>
      </c>
      <c r="E159" s="7">
        <f>INDEX(Sheet2!$D$2:$D$65,$B159+1)</f>
        <v>3</v>
      </c>
      <c r="F159" s="7">
        <f>INDEX(Sheet3!$AY$2:$BN$11,$A159,$E159+1)</f>
        <v>1953248371</v>
      </c>
      <c r="G159" s="7">
        <f>IF($B159&lt;16,_xlfn.BITOR(_xlfn.BITAND($K158,$L158),_xlfn.BITAND(4294967295-$K158,$M158)),IF($B159&lt;32,_xlfn.BITOR(_xlfn.BITAND($M158,$K158),_xlfn.BITAND(4294967295-$M158,$L158)),IF($B159&lt;48,_xlfn.BITXOR(_xlfn.BITXOR($K158,$L158),$M158),_xlfn.BITXOR($L158,_xlfn.BITOR($K158,4294967295-$M158)))))</f>
        <v>2245456102</v>
      </c>
      <c r="H159" s="7">
        <f>MOD($G159+$J158+$C159+$F159,4294967296)</f>
        <v>3497882018</v>
      </c>
      <c r="I159" s="7">
        <f>MOD($H159,2^(32-$D159))*2^$D159+INT($H159/2^(32-$D159))</f>
        <v>1550365727</v>
      </c>
      <c r="J159" s="7">
        <f>$M158</f>
        <v>1489595062</v>
      </c>
      <c r="K159" s="7">
        <f>MOD($K158+$I159,4294967296)</f>
        <v>3744179717</v>
      </c>
      <c r="L159" s="7">
        <f>$K158</f>
        <v>2193813990</v>
      </c>
      <c r="M159" s="7">
        <f>$L158</f>
        <v>3310850804</v>
      </c>
    </row>
    <row r="160" spans="1:13">
      <c r="A160" s="7">
        <v>3</v>
      </c>
      <c r="B160" s="7">
        <v>27</v>
      </c>
      <c r="C160" s="7">
        <f>INDEX(Sheet2!$B$2:$B$65,$B160+1)</f>
        <v>1163531501</v>
      </c>
      <c r="D160" s="7">
        <f>INDEX(Sheet2!$C$2:$C$65,$B160+1)</f>
        <v>20</v>
      </c>
      <c r="E160" s="7">
        <f>INDEX(Sheet2!$D$2:$D$65,$B160+1)</f>
        <v>8</v>
      </c>
      <c r="F160" s="7">
        <f>INDEX(Sheet3!$AY$2:$BN$11,$A160,$E160+1)</f>
        <v>0</v>
      </c>
      <c r="G160" s="7">
        <f>IF($B160&lt;16,_xlfn.BITOR(_xlfn.BITAND($K159,$L159),_xlfn.BITAND(4294967295-$K159,$M159)),IF($B160&lt;32,_xlfn.BITOR(_xlfn.BITAND($M159,$K159),_xlfn.BITAND(4294967295-$M159,$L159)),IF($B160&lt;48,_xlfn.BITXOR(_xlfn.BITXOR($K159,$L159),$M159),_xlfn.BITXOR($L159,_xlfn.BITOR($K159,4294967295-$M159)))))</f>
        <v>3347309318</v>
      </c>
      <c r="H160" s="7">
        <f>MOD($G160+$J159+$C160+$F160,4294967296)</f>
        <v>1705468585</v>
      </c>
      <c r="I160" s="7">
        <f>MOD($H160,2^(32-$D160))*2^$D160+INT($H160/2^(32-$D160))</f>
        <v>714496630</v>
      </c>
      <c r="J160" s="7">
        <f>$M159</f>
        <v>3310850804</v>
      </c>
      <c r="K160" s="7">
        <f>MOD($K159+$I160,4294967296)</f>
        <v>163709051</v>
      </c>
      <c r="L160" s="7">
        <f>$K159</f>
        <v>3744179717</v>
      </c>
      <c r="M160" s="7">
        <f>$L159</f>
        <v>2193813990</v>
      </c>
    </row>
    <row r="161" spans="1:13">
      <c r="A161" s="7">
        <v>3</v>
      </c>
      <c r="B161" s="7">
        <v>28</v>
      </c>
      <c r="C161" s="7">
        <f>INDEX(Sheet2!$B$2:$B$65,$B161+1)</f>
        <v>2850285829</v>
      </c>
      <c r="D161" s="7">
        <f>INDEX(Sheet2!$C$2:$C$65,$B161+1)</f>
        <v>5</v>
      </c>
      <c r="E161" s="7">
        <f>INDEX(Sheet2!$D$2:$D$65,$B161+1)</f>
        <v>13</v>
      </c>
      <c r="F161" s="7">
        <f>INDEX(Sheet3!$AY$2:$BN$11,$A161,$E161+1)</f>
        <v>0</v>
      </c>
      <c r="G161" s="7">
        <f>IF($B161&lt;16,_xlfn.BITOR(_xlfn.BITAND($K160,$L160),_xlfn.BITAND(4294967295-$K160,$M160)),IF($B161&lt;32,_xlfn.BITOR(_xlfn.BITAND($M160,$K160),_xlfn.BITAND(4294967295-$M160,$L160)),IF($B161&lt;48,_xlfn.BITXOR(_xlfn.BITXOR($K160,$L160),$M160),_xlfn.BITXOR($L160,_xlfn.BITOR($K160,4294967295-$M160)))))</f>
        <v>1575683683</v>
      </c>
      <c r="H161" s="7">
        <f>MOD($G161+$J160+$C161+$F161,4294967296)</f>
        <v>3441853020</v>
      </c>
      <c r="I161" s="7">
        <f>MOD($H161,2^(32-$D161))*2^$D161+INT($H161/2^(32-$D161))</f>
        <v>2765114265</v>
      </c>
      <c r="J161" s="7">
        <f>$M160</f>
        <v>2193813990</v>
      </c>
      <c r="K161" s="7">
        <f>MOD($K160+$I161,4294967296)</f>
        <v>2928823316</v>
      </c>
      <c r="L161" s="7">
        <f>$K160</f>
        <v>163709051</v>
      </c>
      <c r="M161" s="7">
        <f>$L160</f>
        <v>3744179717</v>
      </c>
    </row>
    <row r="162" spans="1:13">
      <c r="A162" s="7">
        <v>3</v>
      </c>
      <c r="B162" s="7">
        <v>29</v>
      </c>
      <c r="C162" s="7">
        <f>INDEX(Sheet2!$B$2:$B$65,$B162+1)</f>
        <v>4243563512</v>
      </c>
      <c r="D162" s="7">
        <f>INDEX(Sheet2!$C$2:$C$65,$B162+1)</f>
        <v>9</v>
      </c>
      <c r="E162" s="7">
        <f>INDEX(Sheet2!$D$2:$D$65,$B162+1)</f>
        <v>2</v>
      </c>
      <c r="F162" s="7">
        <f>INDEX(Sheet3!$AY$2:$BN$11,$A162,$E162+1)</f>
        <v>1601792820</v>
      </c>
      <c r="G162" s="7">
        <f>IF($B162&lt;16,_xlfn.BITOR(_xlfn.BITAND($K161,$L161),_xlfn.BITAND(4294967295-$K161,$M161)),IF($B162&lt;32,_xlfn.BITOR(_xlfn.BITAND($M161,$K161),_xlfn.BITAND(4294967295-$M161,$L161)),IF($B162&lt;48,_xlfn.BITXOR(_xlfn.BITXOR($K161,$L161),$M161),_xlfn.BITXOR($L161,_xlfn.BITOR($K161,4294967295-$M161)))))</f>
        <v>2395079806</v>
      </c>
      <c r="H162" s="7">
        <f>MOD($G162+$J161+$C162+$F162,4294967296)</f>
        <v>1844315536</v>
      </c>
      <c r="I162" s="7">
        <f>MOD($H162,2^(32-$D162))*2^$D162+INT($H162/2^(32-$D162))</f>
        <v>3691716827</v>
      </c>
      <c r="J162" s="7">
        <f>$M161</f>
        <v>3744179717</v>
      </c>
      <c r="K162" s="7">
        <f>MOD($K161+$I162,4294967296)</f>
        <v>2325572847</v>
      </c>
      <c r="L162" s="7">
        <f>$K161</f>
        <v>2928823316</v>
      </c>
      <c r="M162" s="7">
        <f>$L161</f>
        <v>163709051</v>
      </c>
    </row>
    <row r="163" spans="1:13">
      <c r="A163" s="7">
        <v>3</v>
      </c>
      <c r="B163" s="7">
        <v>30</v>
      </c>
      <c r="C163" s="7">
        <f>INDEX(Sheet2!$B$2:$B$65,$B163+1)</f>
        <v>1735328473</v>
      </c>
      <c r="D163" s="7">
        <f>INDEX(Sheet2!$C$2:$C$65,$B163+1)</f>
        <v>14</v>
      </c>
      <c r="E163" s="7">
        <f>INDEX(Sheet2!$D$2:$D$65,$B163+1)</f>
        <v>7</v>
      </c>
      <c r="F163" s="7">
        <f>INDEX(Sheet3!$AY$2:$BN$11,$A163,$E163+1)</f>
        <v>0</v>
      </c>
      <c r="G163" s="7">
        <f>IF($B163&lt;16,_xlfn.BITOR(_xlfn.BITAND($K162,$L162),_xlfn.BITAND(4294967295-$K162,$M162)),IF($B163&lt;32,_xlfn.BITOR(_xlfn.BITAND($M162,$K162),_xlfn.BITAND(4294967295-$M162,$L162)),IF($B163&lt;48,_xlfn.BITXOR(_xlfn.BITXOR($K162,$L162),$M162),_xlfn.BITXOR($L162,_xlfn.BITOR($K162,4294967295-$M162)))))</f>
        <v>2928692335</v>
      </c>
      <c r="H163" s="7">
        <f>MOD($G163+$J162+$C163+$F163,4294967296)</f>
        <v>4113233229</v>
      </c>
      <c r="I163" s="7">
        <f>MOD($H163,2^(32-$D163))*2^$D163+INT($H163/2^(32-$D163))</f>
        <v>3176365386</v>
      </c>
      <c r="J163" s="7">
        <f>$M162</f>
        <v>163709051</v>
      </c>
      <c r="K163" s="7">
        <f>MOD($K162+$I163,4294967296)</f>
        <v>1206970937</v>
      </c>
      <c r="L163" s="7">
        <f>$K162</f>
        <v>2325572847</v>
      </c>
      <c r="M163" s="7">
        <f>$L162</f>
        <v>2928823316</v>
      </c>
    </row>
    <row r="164" spans="1:13">
      <c r="A164" s="7">
        <v>3</v>
      </c>
      <c r="B164" s="7">
        <v>31</v>
      </c>
      <c r="C164" s="7">
        <f>INDEX(Sheet2!$B$2:$B$65,$B164+1)</f>
        <v>2368359562</v>
      </c>
      <c r="D164" s="7">
        <f>INDEX(Sheet2!$C$2:$C$65,$B164+1)</f>
        <v>20</v>
      </c>
      <c r="E164" s="7">
        <f>INDEX(Sheet2!$D$2:$D$65,$B164+1)</f>
        <v>12</v>
      </c>
      <c r="F164" s="7">
        <f>INDEX(Sheet3!$AY$2:$BN$11,$A164,$E164+1)</f>
        <v>0</v>
      </c>
      <c r="G164" s="7">
        <f>IF($B164&lt;16,_xlfn.BITOR(_xlfn.BITAND($K163,$L163),_xlfn.BITAND(4294967295-$K163,$M163)),IF($B164&lt;32,_xlfn.BITOR(_xlfn.BITAND($M163,$K163),_xlfn.BITAND(4294967295-$M163,$L163)),IF($B164&lt;48,_xlfn.BITXOR(_xlfn.BITXOR($K163,$L163),$M163),_xlfn.BITXOR($L163,_xlfn.BITOR($K163,4294967295-$M163)))))</f>
        <v>110979323</v>
      </c>
      <c r="H164" s="7">
        <f>MOD($G164+$J163+$C164+$F164,4294967296)</f>
        <v>2643047936</v>
      </c>
      <c r="I164" s="7">
        <f>MOD($H164,2^(32-$D164))*2^$D164+INT($H164/2^(32-$D164))</f>
        <v>1611258011</v>
      </c>
      <c r="J164" s="7">
        <f>$M163</f>
        <v>2928823316</v>
      </c>
      <c r="K164" s="7">
        <f>MOD($K163+$I164,4294967296)</f>
        <v>2818228948</v>
      </c>
      <c r="L164" s="7">
        <f>$K163</f>
        <v>1206970937</v>
      </c>
      <c r="M164" s="7">
        <f>$L163</f>
        <v>2325572847</v>
      </c>
    </row>
    <row r="165" spans="1:13">
      <c r="A165" s="7">
        <v>3</v>
      </c>
      <c r="B165" s="7">
        <v>32</v>
      </c>
      <c r="C165" s="7">
        <f>INDEX(Sheet2!$B$2:$B$65,$B165+1)</f>
        <v>4294588738</v>
      </c>
      <c r="D165" s="7">
        <f>INDEX(Sheet2!$C$2:$C$65,$B165+1)</f>
        <v>4</v>
      </c>
      <c r="E165" s="7">
        <f>INDEX(Sheet2!$D$2:$D$65,$B165+1)</f>
        <v>5</v>
      </c>
      <c r="F165" s="7">
        <f>INDEX(Sheet3!$AY$2:$BN$11,$A165,$E165+1)</f>
        <v>0</v>
      </c>
      <c r="G165" s="7">
        <f>IF($B165&lt;16,_xlfn.BITOR(_xlfn.BITAND($K164,$L164),_xlfn.BITAND(4294967295-$K164,$M164)),IF($B165&lt;32,_xlfn.BITOR(_xlfn.BITAND($M164,$K164),_xlfn.BITAND(4294967295-$M164,$L164)),IF($B165&lt;48,_xlfn.BITXOR(_xlfn.BITXOR($K164,$L164),$M164),_xlfn.BITXOR($L164,_xlfn.BITOR($K164,4294967295-$M164)))))</f>
        <v>1788298242</v>
      </c>
      <c r="H165" s="7">
        <f>MOD($G165+$J164+$C165+$F165,4294967296)</f>
        <v>421775704</v>
      </c>
      <c r="I165" s="7">
        <f>MOD($H165,2^(32-$D165))*2^$D165+INT($H165/2^(32-$D165))</f>
        <v>2453443969</v>
      </c>
      <c r="J165" s="7">
        <f>$M164</f>
        <v>2325572847</v>
      </c>
      <c r="K165" s="7">
        <f>MOD($K164+$I165,4294967296)</f>
        <v>976705621</v>
      </c>
      <c r="L165" s="7">
        <f>$K164</f>
        <v>2818228948</v>
      </c>
      <c r="M165" s="7">
        <f>$L164</f>
        <v>1206970937</v>
      </c>
    </row>
    <row r="166" spans="1:13">
      <c r="A166" s="7">
        <v>3</v>
      </c>
      <c r="B166" s="7">
        <v>33</v>
      </c>
      <c r="C166" s="7">
        <f>INDEX(Sheet2!$B$2:$B$65,$B166+1)</f>
        <v>2272392833</v>
      </c>
      <c r="D166" s="7">
        <f>INDEX(Sheet2!$C$2:$C$65,$B166+1)</f>
        <v>11</v>
      </c>
      <c r="E166" s="7">
        <f>INDEX(Sheet2!$D$2:$D$65,$B166+1)</f>
        <v>8</v>
      </c>
      <c r="F166" s="7">
        <f>INDEX(Sheet3!$AY$2:$BN$11,$A166,$E166+1)</f>
        <v>0</v>
      </c>
      <c r="G166" s="7">
        <f>IF($B166&lt;16,_xlfn.BITOR(_xlfn.BITAND($K165,$L165),_xlfn.BITAND(4294967295-$K165,$M165)),IF($B166&lt;32,_xlfn.BITOR(_xlfn.BITAND($M165,$K165),_xlfn.BITAND(4294967295-$M165,$L165)),IF($B166&lt;48,_xlfn.BITXOR(_xlfn.BITXOR($K165,$L165),$M165),_xlfn.BITXOR($L165,_xlfn.BITOR($K165,4294967295-$M165)))))</f>
        <v>3661459640</v>
      </c>
      <c r="H166" s="7">
        <f>MOD($G166+$J165+$C166+$F166,4294967296)</f>
        <v>3964458024</v>
      </c>
      <c r="I166" s="7">
        <f>MOD($H166,2^(32-$D166))*2^$D166+INT($H166/2^(32-$D166))</f>
        <v>1721845602</v>
      </c>
      <c r="J166" s="7">
        <f>$M165</f>
        <v>1206970937</v>
      </c>
      <c r="K166" s="7">
        <f>MOD($K165+$I166,4294967296)</f>
        <v>2698551223</v>
      </c>
      <c r="L166" s="7">
        <f>$K165</f>
        <v>976705621</v>
      </c>
      <c r="M166" s="7">
        <f>$L165</f>
        <v>2818228948</v>
      </c>
    </row>
    <row r="167" spans="1:13">
      <c r="A167" s="7">
        <v>3</v>
      </c>
      <c r="B167" s="7">
        <v>34</v>
      </c>
      <c r="C167" s="7">
        <f>INDEX(Sheet2!$B$2:$B$65,$B167+1)</f>
        <v>1839030562</v>
      </c>
      <c r="D167" s="7">
        <f>INDEX(Sheet2!$C$2:$C$65,$B167+1)</f>
        <v>16</v>
      </c>
      <c r="E167" s="7">
        <f>INDEX(Sheet2!$D$2:$D$65,$B167+1)</f>
        <v>11</v>
      </c>
      <c r="F167" s="7">
        <f>INDEX(Sheet3!$AY$2:$BN$11,$A167,$E167+1)</f>
        <v>0</v>
      </c>
      <c r="G167" s="7">
        <f>IF($B167&lt;16,_xlfn.BITOR(_xlfn.BITAND($K166,$L166),_xlfn.BITAND(4294967295-$K166,$M166)),IF($B167&lt;32,_xlfn.BITOR(_xlfn.BITAND($M166,$K166),_xlfn.BITAND(4294967295-$M166,$L166)),IF($B167&lt;48,_xlfn.BITXOR(_xlfn.BITXOR($K166,$L166),$M166),_xlfn.BITXOR($L166,_xlfn.BITOR($K166,4294967295-$M166)))))</f>
        <v>1024787766</v>
      </c>
      <c r="H167" s="7">
        <f>MOD($G167+$J166+$C167+$F167,4294967296)</f>
        <v>4070789265</v>
      </c>
      <c r="I167" s="7">
        <f>MOD($H167,2^(32-$D167))*2^$D167+INT($H167/2^(32-$D167))</f>
        <v>1351742115</v>
      </c>
      <c r="J167" s="7">
        <f>$M166</f>
        <v>2818228948</v>
      </c>
      <c r="K167" s="7">
        <f>MOD($K166+$I167,4294967296)</f>
        <v>4050293338</v>
      </c>
      <c r="L167" s="7">
        <f>$K166</f>
        <v>2698551223</v>
      </c>
      <c r="M167" s="7">
        <f>$L166</f>
        <v>976705621</v>
      </c>
    </row>
    <row r="168" spans="1:13">
      <c r="A168" s="7">
        <v>3</v>
      </c>
      <c r="B168" s="7">
        <v>35</v>
      </c>
      <c r="C168" s="7">
        <f>INDEX(Sheet2!$B$2:$B$65,$B168+1)</f>
        <v>4259657740</v>
      </c>
      <c r="D168" s="7">
        <f>INDEX(Sheet2!$C$2:$C$65,$B168+1)</f>
        <v>23</v>
      </c>
      <c r="E168" s="7">
        <f>INDEX(Sheet2!$D$2:$D$65,$B168+1)</f>
        <v>14</v>
      </c>
      <c r="F168" s="7">
        <f>INDEX(Sheet3!$AY$2:$BN$11,$A168,$E168+1)</f>
        <v>152</v>
      </c>
      <c r="G168" s="7">
        <f>IF($B168&lt;16,_xlfn.BITOR(_xlfn.BITAND($K167,$L167),_xlfn.BITAND(4294967295-$K167,$M167)),IF($B168&lt;32,_xlfn.BITOR(_xlfn.BITAND($M167,$K167),_xlfn.BITAND(4294967295-$M167,$L167)),IF($B168&lt;48,_xlfn.BITXOR(_xlfn.BITXOR($K167,$L167),$M167),_xlfn.BITXOR($L167,_xlfn.BITOR($K167,4294967295-$M167)))))</f>
        <v>1803900344</v>
      </c>
      <c r="H168" s="7">
        <f>MOD($G168+$J167+$C168+$F168,4294967296)</f>
        <v>291852592</v>
      </c>
      <c r="I168" s="7">
        <f>MOD($H168,2^(32-$D168))*2^$D168+INT($H168/2^(32-$D168))</f>
        <v>2550706856</v>
      </c>
      <c r="J168" s="7">
        <f>$M167</f>
        <v>976705621</v>
      </c>
      <c r="K168" s="7">
        <f>MOD($K167+$I168,4294967296)</f>
        <v>2306032898</v>
      </c>
      <c r="L168" s="7">
        <f>$K167</f>
        <v>4050293338</v>
      </c>
      <c r="M168" s="7">
        <f>$L167</f>
        <v>2698551223</v>
      </c>
    </row>
    <row r="169" spans="1:13">
      <c r="A169" s="7">
        <v>3</v>
      </c>
      <c r="B169" s="7">
        <v>36</v>
      </c>
      <c r="C169" s="7">
        <f>INDEX(Sheet2!$B$2:$B$65,$B169+1)</f>
        <v>2763975236</v>
      </c>
      <c r="D169" s="7">
        <f>INDEX(Sheet2!$C$2:$C$65,$B169+1)</f>
        <v>4</v>
      </c>
      <c r="E169" s="7">
        <f>INDEX(Sheet2!$D$2:$D$65,$B169+1)</f>
        <v>1</v>
      </c>
      <c r="F169" s="7">
        <f>INDEX(Sheet3!$AY$2:$BN$11,$A169,$E169+1)</f>
        <v>862876511</v>
      </c>
      <c r="G169" s="7">
        <f>IF($B169&lt;16,_xlfn.BITOR(_xlfn.BITAND($K168,$L168),_xlfn.BITAND(4294967295-$K168,$M168)),IF($B169&lt;32,_xlfn.BITOR(_xlfn.BITAND($M168,$K168),_xlfn.BITAND(4294967295-$M168,$L168)),IF($B169&lt;48,_xlfn.BITXOR(_xlfn.BITXOR($K168,$L168),$M168),_xlfn.BITXOR($L168,_xlfn.BITOR($K168,4294967295-$M168)))))</f>
        <v>3636545775</v>
      </c>
      <c r="H169" s="7">
        <f>MOD($G169+$J168+$C169+$F169,4294967296)</f>
        <v>3945135847</v>
      </c>
      <c r="I169" s="7">
        <f>MOD($H169,2^(32-$D169))*2^$D169+INT($H169/2^(32-$D169))</f>
        <v>2992631422</v>
      </c>
      <c r="J169" s="7">
        <f>$M168</f>
        <v>2698551223</v>
      </c>
      <c r="K169" s="7">
        <f>MOD($K168+$I169,4294967296)</f>
        <v>1003697024</v>
      </c>
      <c r="L169" s="7">
        <f>$K168</f>
        <v>2306032898</v>
      </c>
      <c r="M169" s="7">
        <f>$L168</f>
        <v>4050293338</v>
      </c>
    </row>
    <row r="170" spans="1:13">
      <c r="A170" s="7">
        <v>3</v>
      </c>
      <c r="B170" s="7">
        <v>37</v>
      </c>
      <c r="C170" s="7">
        <f>INDEX(Sheet2!$B$2:$B$65,$B170+1)</f>
        <v>1272893353</v>
      </c>
      <c r="D170" s="7">
        <f>INDEX(Sheet2!$C$2:$C$65,$B170+1)</f>
        <v>11</v>
      </c>
      <c r="E170" s="7">
        <f>INDEX(Sheet2!$D$2:$D$65,$B170+1)</f>
        <v>4</v>
      </c>
      <c r="F170" s="7">
        <f>INDEX(Sheet3!$AY$2:$BN$11,$A170,$E170+1)</f>
        <v>2151628607</v>
      </c>
      <c r="G170" s="7">
        <f>IF($B170&lt;16,_xlfn.BITOR(_xlfn.BITAND($K169,$L169),_xlfn.BITAND(4294967295-$K169,$M169)),IF($B170&lt;32,_xlfn.BITOR(_xlfn.BITAND($M169,$K169),_xlfn.BITAND(4294967295-$M169,$L169)),IF($B170&lt;48,_xlfn.BITXOR(_xlfn.BITXOR($K169,$L169),$M169),_xlfn.BITXOR($L169,_xlfn.BITOR($K169,4294967295-$M169)))))</f>
        <v>1137370328</v>
      </c>
      <c r="H170" s="7">
        <f>MOD($G170+$J169+$C170+$F170,4294967296)</f>
        <v>2965476215</v>
      </c>
      <c r="I170" s="7">
        <f>MOD($H170,2^(32-$D170))*2^$D170+INT($H170/2^(32-$D170))</f>
        <v>211533190</v>
      </c>
      <c r="J170" s="7">
        <f>$M169</f>
        <v>4050293338</v>
      </c>
      <c r="K170" s="7">
        <f>MOD($K169+$I170,4294967296)</f>
        <v>1215230214</v>
      </c>
      <c r="L170" s="7">
        <f>$K169</f>
        <v>1003697024</v>
      </c>
      <c r="M170" s="7">
        <f>$L169</f>
        <v>2306032898</v>
      </c>
    </row>
    <row r="171" spans="1:13">
      <c r="A171" s="7">
        <v>3</v>
      </c>
      <c r="B171" s="7">
        <v>38</v>
      </c>
      <c r="C171" s="7">
        <f>INDEX(Sheet2!$B$2:$B$65,$B171+1)</f>
        <v>4139469664</v>
      </c>
      <c r="D171" s="7">
        <f>INDEX(Sheet2!$C$2:$C$65,$B171+1)</f>
        <v>16</v>
      </c>
      <c r="E171" s="7">
        <f>INDEX(Sheet2!$D$2:$D$65,$B171+1)</f>
        <v>7</v>
      </c>
      <c r="F171" s="7">
        <f>INDEX(Sheet3!$AY$2:$BN$11,$A171,$E171+1)</f>
        <v>0</v>
      </c>
      <c r="G171" s="7">
        <f>IF($B171&lt;16,_xlfn.BITOR(_xlfn.BITAND($K170,$L170),_xlfn.BITAND(4294967295-$K170,$M170)),IF($B171&lt;32,_xlfn.BITOR(_xlfn.BITAND($M170,$K170),_xlfn.BITAND(4294967295-$M170,$L170)),IF($B171&lt;48,_xlfn.BITXOR(_xlfn.BITXOR($K170,$L170),$M170),_xlfn.BITXOR($L170,_xlfn.BITOR($K170,4294967295-$M170)))))</f>
        <v>4207839108</v>
      </c>
      <c r="H171" s="7">
        <f>MOD($G171+$J170+$C171+$F171,4294967296)</f>
        <v>3807667518</v>
      </c>
      <c r="I171" s="7">
        <f>MOD($H171,2^(32-$D171))*2^$D171+INT($H171/2^(32-$D171))</f>
        <v>1698620148</v>
      </c>
      <c r="J171" s="7">
        <f>$M170</f>
        <v>2306032898</v>
      </c>
      <c r="K171" s="7">
        <f>MOD($K170+$I171,4294967296)</f>
        <v>2913850362</v>
      </c>
      <c r="L171" s="7">
        <f>$K170</f>
        <v>1215230214</v>
      </c>
      <c r="M171" s="7">
        <f>$L170</f>
        <v>1003697024</v>
      </c>
    </row>
    <row r="172" spans="1:13">
      <c r="A172" s="7">
        <v>3</v>
      </c>
      <c r="B172" s="7">
        <v>39</v>
      </c>
      <c r="C172" s="7">
        <f>INDEX(Sheet2!$B$2:$B$65,$B172+1)</f>
        <v>3200236656</v>
      </c>
      <c r="D172" s="7">
        <f>INDEX(Sheet2!$C$2:$C$65,$B172+1)</f>
        <v>23</v>
      </c>
      <c r="E172" s="7">
        <f>INDEX(Sheet2!$D$2:$D$65,$B172+1)</f>
        <v>10</v>
      </c>
      <c r="F172" s="7">
        <f>INDEX(Sheet3!$AY$2:$BN$11,$A172,$E172+1)</f>
        <v>0</v>
      </c>
      <c r="G172" s="7">
        <f>IF($B172&lt;16,_xlfn.BITOR(_xlfn.BITAND($K171,$L171),_xlfn.BITAND(4294967295-$K171,$M171)),IF($B172&lt;32,_xlfn.BITOR(_xlfn.BITAND($M171,$K171),_xlfn.BITAND(4294967295-$M171,$L171)),IF($B172&lt;48,_xlfn.BITXOR(_xlfn.BITXOR($K171,$L171),$M171),_xlfn.BITXOR($L171,_xlfn.BITOR($K171,4294967295-$M171)))))</f>
        <v>3725595004</v>
      </c>
      <c r="H172" s="7">
        <f>MOD($G172+$J171+$C172+$F172,4294967296)</f>
        <v>641929966</v>
      </c>
      <c r="I172" s="7">
        <f>MOD($H172,2^(32-$D172))*2^$D172+INT($H172/2^(32-$D172))</f>
        <v>1997742473</v>
      </c>
      <c r="J172" s="7">
        <f>$M171</f>
        <v>1003697024</v>
      </c>
      <c r="K172" s="7">
        <f>MOD($K171+$I172,4294967296)</f>
        <v>616625539</v>
      </c>
      <c r="L172" s="7">
        <f>$K171</f>
        <v>2913850362</v>
      </c>
      <c r="M172" s="7">
        <f>$L171</f>
        <v>1215230214</v>
      </c>
    </row>
    <row r="173" spans="1:13">
      <c r="A173" s="7">
        <v>3</v>
      </c>
      <c r="B173" s="7">
        <v>40</v>
      </c>
      <c r="C173" s="7">
        <f>INDEX(Sheet2!$B$2:$B$65,$B173+1)</f>
        <v>681279174</v>
      </c>
      <c r="D173" s="7">
        <f>INDEX(Sheet2!$C$2:$C$65,$B173+1)</f>
        <v>4</v>
      </c>
      <c r="E173" s="7">
        <f>INDEX(Sheet2!$D$2:$D$65,$B173+1)</f>
        <v>13</v>
      </c>
      <c r="F173" s="7">
        <f>INDEX(Sheet3!$AY$2:$BN$11,$A173,$E173+1)</f>
        <v>0</v>
      </c>
      <c r="G173" s="7">
        <f>IF($B173&lt;16,_xlfn.BITOR(_xlfn.BITAND($K172,$L172),_xlfn.BITAND(4294967295-$K172,$M172)),IF($B173&lt;32,_xlfn.BITOR(_xlfn.BITAND($M172,$K172),_xlfn.BITAND(4294967295-$M172,$L172)),IF($B173&lt;48,_xlfn.BITXOR(_xlfn.BITXOR($K172,$L172),$M172),_xlfn.BITXOR($L172,_xlfn.BITOR($K172,4294967295-$M172)))))</f>
        <v>3238254463</v>
      </c>
      <c r="H173" s="7">
        <f>MOD($G173+$J172+$C173+$F173,4294967296)</f>
        <v>628263365</v>
      </c>
      <c r="I173" s="7">
        <f>MOD($H173,2^(32-$D173))*2^$D173+INT($H173/2^(32-$D173))</f>
        <v>1462279250</v>
      </c>
      <c r="J173" s="7">
        <f>$M172</f>
        <v>1215230214</v>
      </c>
      <c r="K173" s="7">
        <f>MOD($K172+$I173,4294967296)</f>
        <v>2078904789</v>
      </c>
      <c r="L173" s="7">
        <f>$K172</f>
        <v>616625539</v>
      </c>
      <c r="M173" s="7">
        <f>$L172</f>
        <v>2913850362</v>
      </c>
    </row>
    <row r="174" spans="1:13">
      <c r="A174" s="7">
        <v>3</v>
      </c>
      <c r="B174" s="7">
        <v>41</v>
      </c>
      <c r="C174" s="7">
        <f>INDEX(Sheet2!$B$2:$B$65,$B174+1)</f>
        <v>3936430074</v>
      </c>
      <c r="D174" s="7">
        <f>INDEX(Sheet2!$C$2:$C$65,$B174+1)</f>
        <v>11</v>
      </c>
      <c r="E174" s="7">
        <f>INDEX(Sheet2!$D$2:$D$65,$B174+1)</f>
        <v>0</v>
      </c>
      <c r="F174" s="7">
        <f>INDEX(Sheet3!$AY$2:$BN$11,$A174,$E174+1)</f>
        <v>1701654643</v>
      </c>
      <c r="G174" s="7">
        <f>IF($B174&lt;16,_xlfn.BITOR(_xlfn.BITAND($K173,$L173),_xlfn.BITAND(4294967295-$K173,$M173)),IF($B174&lt;32,_xlfn.BITOR(_xlfn.BITAND($M173,$K173),_xlfn.BITAND(4294967295-$M173,$L173)),IF($B174&lt;48,_xlfn.BITXOR(_xlfn.BITXOR($K173,$L173),$M173),_xlfn.BITXOR($L173,_xlfn.BITOR($K173,4294967295-$M173)))))</f>
        <v>4068784044</v>
      </c>
      <c r="H174" s="7">
        <f>MOD($G174+$J173+$C174+$F174,4294967296)</f>
        <v>2332164383</v>
      </c>
      <c r="I174" s="7">
        <f>MOD($H174,2^(32-$D174))*2^$D174+INT($H174/2^(32-$D174))</f>
        <v>269024344</v>
      </c>
      <c r="J174" s="7">
        <f>$M173</f>
        <v>2913850362</v>
      </c>
      <c r="K174" s="7">
        <f>MOD($K173+$I174,4294967296)</f>
        <v>2347929133</v>
      </c>
      <c r="L174" s="7">
        <f>$K173</f>
        <v>2078904789</v>
      </c>
      <c r="M174" s="7">
        <f>$L173</f>
        <v>616625539</v>
      </c>
    </row>
    <row r="175" spans="1:13">
      <c r="A175" s="7">
        <v>3</v>
      </c>
      <c r="B175" s="7">
        <v>42</v>
      </c>
      <c r="C175" s="7">
        <f>INDEX(Sheet2!$B$2:$B$65,$B175+1)</f>
        <v>3572445317</v>
      </c>
      <c r="D175" s="7">
        <f>INDEX(Sheet2!$C$2:$C$65,$B175+1)</f>
        <v>16</v>
      </c>
      <c r="E175" s="7">
        <f>INDEX(Sheet2!$D$2:$D$65,$B175+1)</f>
        <v>3</v>
      </c>
      <c r="F175" s="7">
        <f>INDEX(Sheet3!$AY$2:$BN$11,$A175,$E175+1)</f>
        <v>1953248371</v>
      </c>
      <c r="G175" s="7">
        <f>IF($B175&lt;16,_xlfn.BITOR(_xlfn.BITAND($K174,$L174),_xlfn.BITAND(4294967295-$K174,$M174)),IF($B175&lt;32,_xlfn.BITOR(_xlfn.BITAND($M174,$K174),_xlfn.BITAND(4294967295-$M174,$L174)),IF($B175&lt;48,_xlfn.BITXOR(_xlfn.BITXOR($K174,$L174),$M174),_xlfn.BITXOR($L174,_xlfn.BITOR($K174,4294967295-$M174)))))</f>
        <v>3571182203</v>
      </c>
      <c r="H175" s="7">
        <f>MOD($G175+$J174+$C175+$F175,4294967296)</f>
        <v>3420791661</v>
      </c>
      <c r="I175" s="7">
        <f>MOD($H175,2^(32-$D175))*2^$D175+INT($H175/2^(32-$D175))</f>
        <v>594398181</v>
      </c>
      <c r="J175" s="7">
        <f>$M174</f>
        <v>616625539</v>
      </c>
      <c r="K175" s="7">
        <f>MOD($K174+$I175,4294967296)</f>
        <v>2942327314</v>
      </c>
      <c r="L175" s="7">
        <f>$K174</f>
        <v>2347929133</v>
      </c>
      <c r="M175" s="7">
        <f>$L174</f>
        <v>2078904789</v>
      </c>
    </row>
    <row r="176" spans="1:13">
      <c r="A176" s="7">
        <v>3</v>
      </c>
      <c r="B176" s="7">
        <v>43</v>
      </c>
      <c r="C176" s="7">
        <f>INDEX(Sheet2!$B$2:$B$65,$B176+1)</f>
        <v>76029189</v>
      </c>
      <c r="D176" s="7">
        <f>INDEX(Sheet2!$C$2:$C$65,$B176+1)</f>
        <v>23</v>
      </c>
      <c r="E176" s="7">
        <f>INDEX(Sheet2!$D$2:$D$65,$B176+1)</f>
        <v>6</v>
      </c>
      <c r="F176" s="7">
        <f>INDEX(Sheet3!$AY$2:$BN$11,$A176,$E176+1)</f>
        <v>0</v>
      </c>
      <c r="G176" s="7">
        <f>IF($B176&lt;16,_xlfn.BITOR(_xlfn.BITAND($K175,$L175),_xlfn.BITAND(4294967295-$K175,$M175)),IF($B176&lt;32,_xlfn.BITOR(_xlfn.BITAND($M175,$K175),_xlfn.BITAND(4294967295-$M175,$L175)),IF($B176&lt;48,_xlfn.BITXOR(_xlfn.BITXOR($K175,$L175),$M175),_xlfn.BITXOR($L175,_xlfn.BITOR($K175,4294967295-$M175)))))</f>
        <v>1601914346</v>
      </c>
      <c r="H176" s="7">
        <f>MOD($G176+$J175+$C176+$F176,4294967296)</f>
        <v>2294569074</v>
      </c>
      <c r="I176" s="7">
        <f>MOD($H176,2^(32-$D176))*2^$D176+INT($H176/2^(32-$D176))</f>
        <v>960782892</v>
      </c>
      <c r="J176" s="7">
        <f>$M175</f>
        <v>2078904789</v>
      </c>
      <c r="K176" s="7">
        <f>MOD($K175+$I176,4294967296)</f>
        <v>3903110206</v>
      </c>
      <c r="L176" s="7">
        <f>$K175</f>
        <v>2942327314</v>
      </c>
      <c r="M176" s="7">
        <f>$L175</f>
        <v>2347929133</v>
      </c>
    </row>
    <row r="177" spans="1:13">
      <c r="A177" s="7">
        <v>3</v>
      </c>
      <c r="B177" s="7">
        <v>44</v>
      </c>
      <c r="C177" s="7">
        <f>INDEX(Sheet2!$B$2:$B$65,$B177+1)</f>
        <v>3654602809</v>
      </c>
      <c r="D177" s="7">
        <f>INDEX(Sheet2!$C$2:$C$65,$B177+1)</f>
        <v>4</v>
      </c>
      <c r="E177" s="7">
        <f>INDEX(Sheet2!$D$2:$D$65,$B177+1)</f>
        <v>9</v>
      </c>
      <c r="F177" s="7">
        <f>INDEX(Sheet3!$AY$2:$BN$11,$A177,$E177+1)</f>
        <v>0</v>
      </c>
      <c r="G177" s="7">
        <f>IF($B177&lt;16,_xlfn.BITOR(_xlfn.BITAND($K176,$L176),_xlfn.BITAND(4294967295-$K176,$M176)),IF($B177&lt;32,_xlfn.BITOR(_xlfn.BITAND($M176,$K176),_xlfn.BITAND(4294967295-$M176,$L176)),IF($B177&lt;48,_xlfn.BITXOR(_xlfn.BITXOR($K176,$L176),$M176),_xlfn.BITXOR($L176,_xlfn.BITOR($K176,4294967295-$M176)))))</f>
        <v>3426117633</v>
      </c>
      <c r="H177" s="7">
        <f>MOD($G177+$J176+$C177+$F177,4294967296)</f>
        <v>569690639</v>
      </c>
      <c r="I177" s="7">
        <f>MOD($H177,2^(32-$D177))*2^$D177+INT($H177/2^(32-$D177))</f>
        <v>525115634</v>
      </c>
      <c r="J177" s="7">
        <f>$M176</f>
        <v>2347929133</v>
      </c>
      <c r="K177" s="7">
        <f>MOD($K176+$I177,4294967296)</f>
        <v>133258544</v>
      </c>
      <c r="L177" s="7">
        <f>$K176</f>
        <v>3903110206</v>
      </c>
      <c r="M177" s="7">
        <f>$L176</f>
        <v>2942327314</v>
      </c>
    </row>
    <row r="178" spans="1:13">
      <c r="A178" s="7">
        <v>3</v>
      </c>
      <c r="B178" s="7">
        <v>45</v>
      </c>
      <c r="C178" s="7">
        <f>INDEX(Sheet2!$B$2:$B$65,$B178+1)</f>
        <v>3873151461</v>
      </c>
      <c r="D178" s="7">
        <f>INDEX(Sheet2!$C$2:$C$65,$B178+1)</f>
        <v>11</v>
      </c>
      <c r="E178" s="7">
        <f>INDEX(Sheet2!$D$2:$D$65,$B178+1)</f>
        <v>12</v>
      </c>
      <c r="F178" s="7">
        <f>INDEX(Sheet3!$AY$2:$BN$11,$A178,$E178+1)</f>
        <v>0</v>
      </c>
      <c r="G178" s="7">
        <f>IF($B178&lt;16,_xlfn.BITOR(_xlfn.BITAND($K177,$L177),_xlfn.BITAND(4294967295-$K177,$M177)),IF($B178&lt;32,_xlfn.BITOR(_xlfn.BITAND($M177,$K177),_xlfn.BITAND(4294967295-$M177,$L177)),IF($B178&lt;48,_xlfn.BITXOR(_xlfn.BITXOR($K177,$L177),$M177),_xlfn.BITXOR($L177,_xlfn.BITOR($K177,4294967295-$M177)))))</f>
        <v>1077263132</v>
      </c>
      <c r="H178" s="7">
        <f>MOD($G178+$J177+$C178+$F178,4294967296)</f>
        <v>3003376430</v>
      </c>
      <c r="I178" s="7">
        <f>MOD($H178,2^(32-$D178))*2^$D178+INT($H178/2^(32-$D178))</f>
        <v>521762200</v>
      </c>
      <c r="J178" s="7">
        <f>$M177</f>
        <v>2942327314</v>
      </c>
      <c r="K178" s="7">
        <f>MOD($K177+$I178,4294967296)</f>
        <v>655020744</v>
      </c>
      <c r="L178" s="7">
        <f>$K177</f>
        <v>133258544</v>
      </c>
      <c r="M178" s="7">
        <f>$L177</f>
        <v>3903110206</v>
      </c>
    </row>
    <row r="179" spans="1:13">
      <c r="A179" s="7">
        <v>3</v>
      </c>
      <c r="B179" s="7">
        <v>46</v>
      </c>
      <c r="C179" s="7">
        <f>INDEX(Sheet2!$B$2:$B$65,$B179+1)</f>
        <v>530742520</v>
      </c>
      <c r="D179" s="7">
        <f>INDEX(Sheet2!$C$2:$C$65,$B179+1)</f>
        <v>16</v>
      </c>
      <c r="E179" s="7">
        <f>INDEX(Sheet2!$D$2:$D$65,$B179+1)</f>
        <v>15</v>
      </c>
      <c r="F179" s="7">
        <f>INDEX(Sheet3!$AY$2:$BN$11,$A179,$E179+1)</f>
        <v>0</v>
      </c>
      <c r="G179" s="7">
        <f>IF($B179&lt;16,_xlfn.BITOR(_xlfn.BITAND($K178,$L178),_xlfn.BITAND(4294967295-$K178,$M178)),IF($B179&lt;32,_xlfn.BITOR(_xlfn.BITAND($M178,$K178),_xlfn.BITAND(4294967295-$M178,$L178)),IF($B179&lt;48,_xlfn.BITXOR(_xlfn.BITXOR($K178,$L178),$M178),_xlfn.BITXOR($L178,_xlfn.BITOR($K178,4294967295-$M178)))))</f>
        <v>3361682374</v>
      </c>
      <c r="H179" s="7">
        <f>MOD($G179+$J178+$C179+$F179,4294967296)</f>
        <v>2539784912</v>
      </c>
      <c r="I179" s="7">
        <f>MOD($H179,2^(32-$D179))*2^$D179+INT($H179/2^(32-$D179))</f>
        <v>181442402</v>
      </c>
      <c r="J179" s="7">
        <f>$M178</f>
        <v>3903110206</v>
      </c>
      <c r="K179" s="7">
        <f>MOD($K178+$I179,4294967296)</f>
        <v>836463146</v>
      </c>
      <c r="L179" s="7">
        <f>$K178</f>
        <v>655020744</v>
      </c>
      <c r="M179" s="7">
        <f>$L178</f>
        <v>133258544</v>
      </c>
    </row>
    <row r="180" spans="1:13">
      <c r="A180" s="7">
        <v>3</v>
      </c>
      <c r="B180" s="7">
        <v>47</v>
      </c>
      <c r="C180" s="7">
        <f>INDEX(Sheet2!$B$2:$B$65,$B180+1)</f>
        <v>3299628645</v>
      </c>
      <c r="D180" s="7">
        <f>INDEX(Sheet2!$C$2:$C$65,$B180+1)</f>
        <v>23</v>
      </c>
      <c r="E180" s="7">
        <f>INDEX(Sheet2!$D$2:$D$65,$B180+1)</f>
        <v>2</v>
      </c>
      <c r="F180" s="7">
        <f>INDEX(Sheet3!$AY$2:$BN$11,$A180,$E180+1)</f>
        <v>1601792820</v>
      </c>
      <c r="G180" s="7">
        <f>IF($B180&lt;16,_xlfn.BITOR(_xlfn.BITAND($K179,$L179),_xlfn.BITAND(4294967295-$K179,$M179)),IF($B180&lt;32,_xlfn.BITOR(_xlfn.BITAND($M179,$K179),_xlfn.BITAND(4294967295-$M179,$L179)),IF($B180&lt;48,_xlfn.BITXOR(_xlfn.BITXOR($K179,$L179),$M179),_xlfn.BITXOR($L179,_xlfn.BITOR($K179,4294967295-$M179)))))</f>
        <v>287368658</v>
      </c>
      <c r="H180" s="7">
        <f>MOD($G180+$J179+$C180+$F180,4294967296)</f>
        <v>501965737</v>
      </c>
      <c r="I180" s="7">
        <f>MOD($H180,2^(32-$D180))*2^$D180+INT($H180/2^(32-$D180))</f>
        <v>3566138801</v>
      </c>
      <c r="J180" s="7">
        <f>$M179</f>
        <v>133258544</v>
      </c>
      <c r="K180" s="7">
        <f>MOD($K179+$I180,4294967296)</f>
        <v>107634651</v>
      </c>
      <c r="L180" s="7">
        <f>$K179</f>
        <v>836463146</v>
      </c>
      <c r="M180" s="7">
        <f>$L179</f>
        <v>655020744</v>
      </c>
    </row>
    <row r="181" spans="1:13">
      <c r="A181" s="7">
        <v>3</v>
      </c>
      <c r="B181" s="7">
        <v>48</v>
      </c>
      <c r="C181" s="7">
        <f>INDEX(Sheet2!$B$2:$B$65,$B181+1)</f>
        <v>4096336452</v>
      </c>
      <c r="D181" s="7">
        <f>INDEX(Sheet2!$C$2:$C$65,$B181+1)</f>
        <v>6</v>
      </c>
      <c r="E181" s="7">
        <f>INDEX(Sheet2!$D$2:$D$65,$B181+1)</f>
        <v>0</v>
      </c>
      <c r="F181" s="7">
        <f>INDEX(Sheet3!$AY$2:$BN$11,$A181,$E181+1)</f>
        <v>1701654643</v>
      </c>
      <c r="G181" s="7">
        <f>IF($B181&lt;16,_xlfn.BITOR(_xlfn.BITAND($K180,$L180),_xlfn.BITAND(4294967295-$K180,$M180)),IF($B181&lt;32,_xlfn.BITOR(_xlfn.BITAND($M180,$K180),_xlfn.BITAND(4294967295-$M180,$L180)),IF($B181&lt;48,_xlfn.BITXOR(_xlfn.BITXOR($K180,$L180),$M180),_xlfn.BITXOR($L180,_xlfn.BITOR($K180,4294967295-$M180)))))</f>
        <v>4012119509</v>
      </c>
      <c r="H181" s="7">
        <f>MOD($G181+$J180+$C181+$F181,4294967296)</f>
        <v>1353434556</v>
      </c>
      <c r="I181" s="7">
        <f>MOD($H181,2^(32-$D181))*2^$D181+INT($H181/2^(32-$D181))</f>
        <v>720465684</v>
      </c>
      <c r="J181" s="7">
        <f>$M180</f>
        <v>655020744</v>
      </c>
      <c r="K181" s="7">
        <f>MOD($K180+$I181,4294967296)</f>
        <v>828100335</v>
      </c>
      <c r="L181" s="7">
        <f>$K180</f>
        <v>107634651</v>
      </c>
      <c r="M181" s="7">
        <f>$L180</f>
        <v>836463146</v>
      </c>
    </row>
    <row r="182" spans="1:13">
      <c r="A182" s="7">
        <v>3</v>
      </c>
      <c r="B182" s="7">
        <v>49</v>
      </c>
      <c r="C182" s="7">
        <f>INDEX(Sheet2!$B$2:$B$65,$B182+1)</f>
        <v>1126891415</v>
      </c>
      <c r="D182" s="7">
        <f>INDEX(Sheet2!$C$2:$C$65,$B182+1)</f>
        <v>10</v>
      </c>
      <c r="E182" s="7">
        <f>INDEX(Sheet2!$D$2:$D$65,$B182+1)</f>
        <v>7</v>
      </c>
      <c r="F182" s="7">
        <f>INDEX(Sheet3!$AY$2:$BN$11,$A182,$E182+1)</f>
        <v>0</v>
      </c>
      <c r="G182" s="7">
        <f>IF($B182&lt;16,_xlfn.BITOR(_xlfn.BITAND($K181,$L181),_xlfn.BITAND(4294967295-$K181,$M181)),IF($B182&lt;32,_xlfn.BITOR(_xlfn.BITAND($M181,$K181),_xlfn.BITAND(4294967295-$M181,$L181)),IF($B182&lt;48,_xlfn.BITXOR(_xlfn.BITXOR($K181,$L181),$M181),_xlfn.BITXOR($L181,_xlfn.BITOR($K181,4294967295-$M181)))))</f>
        <v>4178935844</v>
      </c>
      <c r="H182" s="7">
        <f>MOD($G182+$J181+$C182+$F182,4294967296)</f>
        <v>1665880707</v>
      </c>
      <c r="I182" s="7">
        <f>MOD($H182,2^(32-$D182))*2^$D182+INT($H182/2^(32-$D182))</f>
        <v>759827853</v>
      </c>
      <c r="J182" s="7">
        <f>$M181</f>
        <v>836463146</v>
      </c>
      <c r="K182" s="7">
        <f>MOD($K181+$I182,4294967296)</f>
        <v>1587928188</v>
      </c>
      <c r="L182" s="7">
        <f>$K181</f>
        <v>828100335</v>
      </c>
      <c r="M182" s="7">
        <f>$L181</f>
        <v>107634651</v>
      </c>
    </row>
    <row r="183" spans="1:13">
      <c r="A183" s="7">
        <v>3</v>
      </c>
      <c r="B183" s="7">
        <v>50</v>
      </c>
      <c r="C183" s="7">
        <f>INDEX(Sheet2!$B$2:$B$65,$B183+1)</f>
        <v>2878612391</v>
      </c>
      <c r="D183" s="7">
        <f>INDEX(Sheet2!$C$2:$C$65,$B183+1)</f>
        <v>15</v>
      </c>
      <c r="E183" s="7">
        <f>INDEX(Sheet2!$D$2:$D$65,$B183+1)</f>
        <v>14</v>
      </c>
      <c r="F183" s="7">
        <f>INDEX(Sheet3!$AY$2:$BN$11,$A183,$E183+1)</f>
        <v>152</v>
      </c>
      <c r="G183" s="7">
        <f>IF($B183&lt;16,_xlfn.BITOR(_xlfn.BITAND($K182,$L182),_xlfn.BITAND(4294967295-$K182,$M182)),IF($B183&lt;32,_xlfn.BITOR(_xlfn.BITAND($M182,$K182),_xlfn.BITAND(4294967295-$M182,$L182)),IF($B183&lt;48,_xlfn.BITXOR(_xlfn.BITXOR($K182,$L182),$M182),_xlfn.BITXOR($L182,_xlfn.BITOR($K182,4294967295-$M182)))))</f>
        <v>3471717011</v>
      </c>
      <c r="H183" s="7">
        <f>MOD($G183+$J182+$C183+$F183,4294967296)</f>
        <v>2891825404</v>
      </c>
      <c r="I183" s="7">
        <f>MOD($H183,2^(32-$D183))*2^$D183+INT($H183/2^(32-$D183))</f>
        <v>3766375982</v>
      </c>
      <c r="J183" s="7">
        <f>$M182</f>
        <v>107634651</v>
      </c>
      <c r="K183" s="7">
        <f>MOD($K182+$I183,4294967296)</f>
        <v>1059336874</v>
      </c>
      <c r="L183" s="7">
        <f>$K182</f>
        <v>1587928188</v>
      </c>
      <c r="M183" s="7">
        <f>$L182</f>
        <v>828100335</v>
      </c>
    </row>
    <row r="184" spans="1:13">
      <c r="A184" s="7">
        <v>3</v>
      </c>
      <c r="B184" s="7">
        <v>51</v>
      </c>
      <c r="C184" s="7">
        <f>INDEX(Sheet2!$B$2:$B$65,$B184+1)</f>
        <v>4237533241</v>
      </c>
      <c r="D184" s="7">
        <f>INDEX(Sheet2!$C$2:$C$65,$B184+1)</f>
        <v>21</v>
      </c>
      <c r="E184" s="7">
        <f>INDEX(Sheet2!$D$2:$D$65,$B184+1)</f>
        <v>5</v>
      </c>
      <c r="F184" s="7">
        <f>INDEX(Sheet3!$AY$2:$BN$11,$A184,$E184+1)</f>
        <v>0</v>
      </c>
      <c r="G184" s="7">
        <f>IF($B184&lt;16,_xlfn.BITOR(_xlfn.BITAND($K183,$L183),_xlfn.BITAND(4294967295-$K183,$M183)),IF($B184&lt;32,_xlfn.BITOR(_xlfn.BITAND($M183,$K183),_xlfn.BITAND(4294967295-$M183,$L183)),IF($B184&lt;48,_xlfn.BITXOR(_xlfn.BITXOR($K183,$L183),$M183),_xlfn.BITXOR($L183,_xlfn.BITOR($K183,4294967295-$M183)))))</f>
        <v>2701258694</v>
      </c>
      <c r="H184" s="7">
        <f>MOD($G184+$J183+$C184+$F184,4294967296)</f>
        <v>2751459290</v>
      </c>
      <c r="I184" s="7">
        <f>MOD($H184,2^(32-$D184))*2^$D184+INT($H184/2^(32-$D184))</f>
        <v>4216619005</v>
      </c>
      <c r="J184" s="7">
        <f>$M183</f>
        <v>828100335</v>
      </c>
      <c r="K184" s="7">
        <f>MOD($K183+$I184,4294967296)</f>
        <v>980988583</v>
      </c>
      <c r="L184" s="7">
        <f>$K183</f>
        <v>1059336874</v>
      </c>
      <c r="M184" s="7">
        <f>$L183</f>
        <v>1587928188</v>
      </c>
    </row>
    <row r="185" spans="1:13">
      <c r="A185" s="7">
        <v>3</v>
      </c>
      <c r="B185" s="7">
        <v>52</v>
      </c>
      <c r="C185" s="7">
        <f>INDEX(Sheet2!$B$2:$B$65,$B185+1)</f>
        <v>1700485571</v>
      </c>
      <c r="D185" s="7">
        <f>INDEX(Sheet2!$C$2:$C$65,$B185+1)</f>
        <v>6</v>
      </c>
      <c r="E185" s="7">
        <f>INDEX(Sheet2!$D$2:$D$65,$B185+1)</f>
        <v>12</v>
      </c>
      <c r="F185" s="7">
        <f>INDEX(Sheet3!$AY$2:$BN$11,$A185,$E185+1)</f>
        <v>0</v>
      </c>
      <c r="G185" s="7">
        <f>IF($B185&lt;16,_xlfn.BITOR(_xlfn.BITAND($K184,$L184),_xlfn.BITAND(4294967295-$K184,$M184)),IF($B185&lt;32,_xlfn.BITOR(_xlfn.BITAND($M184,$K184),_xlfn.BITAND(4294967295-$M184,$L184)),IF($B185&lt;48,_xlfn.BITXOR(_xlfn.BITXOR($K184,$L184),$M184),_xlfn.BITXOR($L184,_xlfn.BITOR($K184,4294967295-$M184)))))</f>
        <v>2220785933</v>
      </c>
      <c r="H185" s="7">
        <f>MOD($G185+$J184+$C185+$F185,4294967296)</f>
        <v>454404543</v>
      </c>
      <c r="I185" s="7">
        <f>MOD($H185,2^(32-$D185))*2^$D185+INT($H185/2^(32-$D185))</f>
        <v>3312086982</v>
      </c>
      <c r="J185" s="7">
        <f>$M184</f>
        <v>1587928188</v>
      </c>
      <c r="K185" s="7">
        <f>MOD($K184+$I185,4294967296)</f>
        <v>4293075565</v>
      </c>
      <c r="L185" s="7">
        <f>$K184</f>
        <v>980988583</v>
      </c>
      <c r="M185" s="7">
        <f>$L184</f>
        <v>1059336874</v>
      </c>
    </row>
    <row r="186" spans="1:13">
      <c r="A186" s="7">
        <v>3</v>
      </c>
      <c r="B186" s="7">
        <v>53</v>
      </c>
      <c r="C186" s="7">
        <f>INDEX(Sheet2!$B$2:$B$65,$B186+1)</f>
        <v>2399980690</v>
      </c>
      <c r="D186" s="7">
        <f>INDEX(Sheet2!$C$2:$C$65,$B186+1)</f>
        <v>10</v>
      </c>
      <c r="E186" s="7">
        <f>INDEX(Sheet2!$D$2:$D$65,$B186+1)</f>
        <v>3</v>
      </c>
      <c r="F186" s="7">
        <f>INDEX(Sheet3!$AY$2:$BN$11,$A186,$E186+1)</f>
        <v>1953248371</v>
      </c>
      <c r="G186" s="7">
        <f>IF($B186&lt;16,_xlfn.BITOR(_xlfn.BITAND($K185,$L185),_xlfn.BITAND(4294967295-$K185,$M185)),IF($B186&lt;32,_xlfn.BITOR(_xlfn.BITAND($M185,$K185),_xlfn.BITAND(4294967295-$M185,$L185)),IF($B186&lt;48,_xlfn.BITXOR(_xlfn.BITXOR($K185,$L185),$M185),_xlfn.BITXOR($L185,_xlfn.BITOR($K185,4294967295-$M185)))))</f>
        <v>3313720794</v>
      </c>
      <c r="H186" s="7">
        <f>MOD($G186+$J185+$C186+$F186,4294967296)</f>
        <v>664943451</v>
      </c>
      <c r="I186" s="7">
        <f>MOD($H186,2^(32-$D186))*2^$D186+INT($H186/2^(32-$D186))</f>
        <v>2297261214</v>
      </c>
      <c r="J186" s="7">
        <f>$M185</f>
        <v>1059336874</v>
      </c>
      <c r="K186" s="7">
        <f>MOD($K185+$I186,4294967296)</f>
        <v>2295369483</v>
      </c>
      <c r="L186" s="7">
        <f>$K185</f>
        <v>4293075565</v>
      </c>
      <c r="M186" s="7">
        <f>$L185</f>
        <v>980988583</v>
      </c>
    </row>
    <row r="187" spans="1:13">
      <c r="A187" s="7">
        <v>3</v>
      </c>
      <c r="B187" s="7">
        <v>54</v>
      </c>
      <c r="C187" s="7">
        <f>INDEX(Sheet2!$B$2:$B$65,$B187+1)</f>
        <v>4293915773</v>
      </c>
      <c r="D187" s="7">
        <f>INDEX(Sheet2!$C$2:$C$65,$B187+1)</f>
        <v>15</v>
      </c>
      <c r="E187" s="7">
        <f>INDEX(Sheet2!$D$2:$D$65,$B187+1)</f>
        <v>10</v>
      </c>
      <c r="F187" s="7">
        <f>INDEX(Sheet3!$AY$2:$BN$11,$A187,$E187+1)</f>
        <v>0</v>
      </c>
      <c r="G187" s="7">
        <f>IF($B187&lt;16,_xlfn.BITOR(_xlfn.BITAND($K186,$L186),_xlfn.BITAND(4294967295-$K186,$M186)),IF($B187&lt;32,_xlfn.BITOR(_xlfn.BITAND($M186,$K186),_xlfn.BITAND(4294967295-$M186,$L186)),IF($B187&lt;48,_xlfn.BITXOR(_xlfn.BITXOR($K186,$L186),$M186),_xlfn.BITXOR($L186,_xlfn.BITOR($K186,4294967295-$M186)))))</f>
        <v>842329398</v>
      </c>
      <c r="H187" s="7">
        <f>MOD($G187+$J186+$C187+$F187,4294967296)</f>
        <v>1900614749</v>
      </c>
      <c r="I187" s="7">
        <f>MOD($H187,2^(32-$D187))*2^$D187+INT($H187/2^(32-$D187))</f>
        <v>2318317732</v>
      </c>
      <c r="J187" s="7">
        <f>$M186</f>
        <v>980988583</v>
      </c>
      <c r="K187" s="7">
        <f>MOD($K186+$I187,4294967296)</f>
        <v>318719919</v>
      </c>
      <c r="L187" s="7">
        <f>$K186</f>
        <v>2295369483</v>
      </c>
      <c r="M187" s="7">
        <f>$L186</f>
        <v>4293075565</v>
      </c>
    </row>
    <row r="188" spans="1:13">
      <c r="A188" s="7">
        <v>3</v>
      </c>
      <c r="B188" s="7">
        <v>55</v>
      </c>
      <c r="C188" s="7">
        <f>INDEX(Sheet2!$B$2:$B$65,$B188+1)</f>
        <v>2240044497</v>
      </c>
      <c r="D188" s="7">
        <f>INDEX(Sheet2!$C$2:$C$65,$B188+1)</f>
        <v>21</v>
      </c>
      <c r="E188" s="7">
        <f>INDEX(Sheet2!$D$2:$D$65,$B188+1)</f>
        <v>1</v>
      </c>
      <c r="F188" s="7">
        <f>INDEX(Sheet3!$AY$2:$BN$11,$A188,$E188+1)</f>
        <v>862876511</v>
      </c>
      <c r="G188" s="7">
        <f>IF($B188&lt;16,_xlfn.BITOR(_xlfn.BITAND($K187,$L187),_xlfn.BITAND(4294967295-$K187,$M187)),IF($B188&lt;32,_xlfn.BITOR(_xlfn.BITAND($M187,$K187),_xlfn.BITAND(4294967295-$M187,$L187)),IF($B188&lt;48,_xlfn.BITXOR(_xlfn.BITXOR($K187,$L187),$M187),_xlfn.BITXOR($L187,_xlfn.BITOR($K187,4294967295-$M187)))))</f>
        <v>2586792116</v>
      </c>
      <c r="H188" s="7">
        <f>MOD($G188+$J187+$C188+$F188,4294967296)</f>
        <v>2375734411</v>
      </c>
      <c r="I188" s="7">
        <f>MOD($H188,2^(32-$D188))*2^$D188+INT($H188/2^(32-$D188))</f>
        <v>2440147802</v>
      </c>
      <c r="J188" s="7">
        <f>$M187</f>
        <v>4293075565</v>
      </c>
      <c r="K188" s="7">
        <f>MOD($K187+$I188,4294967296)</f>
        <v>2758867721</v>
      </c>
      <c r="L188" s="7">
        <f>$K187</f>
        <v>318719919</v>
      </c>
      <c r="M188" s="7">
        <f>$L187</f>
        <v>2295369483</v>
      </c>
    </row>
    <row r="189" spans="1:13">
      <c r="A189" s="7">
        <v>3</v>
      </c>
      <c r="B189" s="7">
        <v>56</v>
      </c>
      <c r="C189" s="7">
        <f>INDEX(Sheet2!$B$2:$B$65,$B189+1)</f>
        <v>1873313359</v>
      </c>
      <c r="D189" s="7">
        <f>INDEX(Sheet2!$C$2:$C$65,$B189+1)</f>
        <v>6</v>
      </c>
      <c r="E189" s="7">
        <f>INDEX(Sheet2!$D$2:$D$65,$B189+1)</f>
        <v>8</v>
      </c>
      <c r="F189" s="7">
        <f>INDEX(Sheet3!$AY$2:$BN$11,$A189,$E189+1)</f>
        <v>0</v>
      </c>
      <c r="G189" s="7">
        <f>IF($B189&lt;16,_xlfn.BITOR(_xlfn.BITAND($K188,$L188),_xlfn.BITAND(4294967295-$K188,$M188)),IF($B189&lt;32,_xlfn.BITOR(_xlfn.BITAND($M188,$K188),_xlfn.BITAND(4294967295-$M188,$L188)),IF($B189&lt;48,_xlfn.BITXOR(_xlfn.BITXOR($K188,$L188),$M188),_xlfn.BITXOR($L188,_xlfn.BITOR($K188,4294967295-$M188)))))</f>
        <v>3850419282</v>
      </c>
      <c r="H189" s="7">
        <f>MOD($G189+$J188+$C189+$F189,4294967296)</f>
        <v>1426873614</v>
      </c>
      <c r="I189" s="7">
        <f>MOD($H189,2^(32-$D189))*2^$D189+INT($H189/2^(32-$D189))</f>
        <v>1125598101</v>
      </c>
      <c r="J189" s="7">
        <f>$M188</f>
        <v>2295369483</v>
      </c>
      <c r="K189" s="7">
        <f>MOD($K188+$I189,4294967296)</f>
        <v>3884465822</v>
      </c>
      <c r="L189" s="7">
        <f>$K188</f>
        <v>2758867721</v>
      </c>
      <c r="M189" s="7">
        <f>$L188</f>
        <v>318719919</v>
      </c>
    </row>
    <row r="190" spans="1:13">
      <c r="A190" s="7">
        <v>3</v>
      </c>
      <c r="B190" s="7">
        <v>57</v>
      </c>
      <c r="C190" s="7">
        <f>INDEX(Sheet2!$B$2:$B$65,$B190+1)</f>
        <v>4264355552</v>
      </c>
      <c r="D190" s="7">
        <f>INDEX(Sheet2!$C$2:$C$65,$B190+1)</f>
        <v>10</v>
      </c>
      <c r="E190" s="7">
        <f>INDEX(Sheet2!$D$2:$D$65,$B190+1)</f>
        <v>15</v>
      </c>
      <c r="F190" s="7">
        <f>INDEX(Sheet3!$AY$2:$BN$11,$A190,$E190+1)</f>
        <v>0</v>
      </c>
      <c r="G190" s="7">
        <f>IF($B190&lt;16,_xlfn.BITOR(_xlfn.BITAND($K189,$L189),_xlfn.BITAND(4294967295-$K189,$M189)),IF($B190&lt;32,_xlfn.BITOR(_xlfn.BITAND($M189,$K189),_xlfn.BITAND(4294967295-$M189,$L189)),IF($B190&lt;48,_xlfn.BITXOR(_xlfn.BITXOR($K189,$L189),$M189),_xlfn.BITXOR($L189,_xlfn.BITOR($K189,4294967295-$M189)))))</f>
        <v>1274562007</v>
      </c>
      <c r="H190" s="7">
        <f>MOD($G190+$J189+$C190+$F190,4294967296)</f>
        <v>3539319746</v>
      </c>
      <c r="I190" s="7">
        <f>MOD($H190,2^(32-$D190))*2^$D190+INT($H190/2^(32-$D190))</f>
        <v>3605990219</v>
      </c>
      <c r="J190" s="7">
        <f>$M189</f>
        <v>318719919</v>
      </c>
      <c r="K190" s="7">
        <f>MOD($K189+$I190,4294967296)</f>
        <v>3195488745</v>
      </c>
      <c r="L190" s="7">
        <f>$K189</f>
        <v>3884465822</v>
      </c>
      <c r="M190" s="7">
        <f>$L189</f>
        <v>2758867721</v>
      </c>
    </row>
    <row r="191" spans="1:13">
      <c r="A191" s="7">
        <v>3</v>
      </c>
      <c r="B191" s="7">
        <v>58</v>
      </c>
      <c r="C191" s="7">
        <f>INDEX(Sheet2!$B$2:$B$65,$B191+1)</f>
        <v>2734768916</v>
      </c>
      <c r="D191" s="7">
        <f>INDEX(Sheet2!$C$2:$C$65,$B191+1)</f>
        <v>15</v>
      </c>
      <c r="E191" s="7">
        <f>INDEX(Sheet2!$D$2:$D$65,$B191+1)</f>
        <v>6</v>
      </c>
      <c r="F191" s="7">
        <f>INDEX(Sheet3!$AY$2:$BN$11,$A191,$E191+1)</f>
        <v>0</v>
      </c>
      <c r="G191" s="7">
        <f>IF($B191&lt;16,_xlfn.BITOR(_xlfn.BITAND($K190,$L190),_xlfn.BITAND(4294967295-$K190,$M190)),IF($B191&lt;32,_xlfn.BITOR(_xlfn.BITAND($M190,$K190),_xlfn.BITAND(4294967295-$M190,$L190)),IF($B191&lt;48,_xlfn.BITXOR(_xlfn.BITXOR($K190,$L190),$M190),_xlfn.BITXOR($L190,_xlfn.BITOR($K190,4294967295-$M190)))))</f>
        <v>410481505</v>
      </c>
      <c r="H191" s="7">
        <f>MOD($G191+$J190+$C191+$F191,4294967296)</f>
        <v>3463970340</v>
      </c>
      <c r="I191" s="7">
        <f>MOD($H191,2^(32-$D191))*2^$D191+INT($H191/2^(32-$D191))</f>
        <v>4279396155</v>
      </c>
      <c r="J191" s="7">
        <f>$M190</f>
        <v>2758867721</v>
      </c>
      <c r="K191" s="7">
        <f>MOD($K190+$I191,4294967296)</f>
        <v>3179917604</v>
      </c>
      <c r="L191" s="7">
        <f>$K190</f>
        <v>3195488745</v>
      </c>
      <c r="M191" s="7">
        <f>$L190</f>
        <v>3884465822</v>
      </c>
    </row>
    <row r="192" spans="1:13">
      <c r="A192" s="7">
        <v>3</v>
      </c>
      <c r="B192" s="7">
        <v>59</v>
      </c>
      <c r="C192" s="7">
        <f>INDEX(Sheet2!$B$2:$B$65,$B192+1)</f>
        <v>1309151649</v>
      </c>
      <c r="D192" s="7">
        <f>INDEX(Sheet2!$C$2:$C$65,$B192+1)</f>
        <v>21</v>
      </c>
      <c r="E192" s="7">
        <f>INDEX(Sheet2!$D$2:$D$65,$B192+1)</f>
        <v>13</v>
      </c>
      <c r="F192" s="7">
        <f>INDEX(Sheet3!$AY$2:$BN$11,$A192,$E192+1)</f>
        <v>0</v>
      </c>
      <c r="G192" s="7">
        <f>IF($B192&lt;16,_xlfn.BITOR(_xlfn.BITAND($K191,$L191),_xlfn.BITAND(4294967295-$K191,$M191)),IF($B192&lt;32,_xlfn.BITOR(_xlfn.BITAND($M191,$K191),_xlfn.BITAND(4294967295-$M191,$L191)),IF($B192&lt;48,_xlfn.BITXOR(_xlfn.BITXOR($K191,$L191),$M191),_xlfn.BITXOR($L191,_xlfn.BITOR($K191,4294967295-$M191)))))</f>
        <v>59291788</v>
      </c>
      <c r="H192" s="7">
        <f>MOD($G192+$J191+$C192+$F192,4294967296)</f>
        <v>4127311158</v>
      </c>
      <c r="I192" s="7">
        <f>MOD($H192,2^(32-$D192))*2^$D192+INT($H192/2^(32-$D192))</f>
        <v>2799616056</v>
      </c>
      <c r="J192" s="7">
        <f>$M191</f>
        <v>3884465822</v>
      </c>
      <c r="K192" s="7">
        <f>MOD($K191+$I192,4294967296)</f>
        <v>1684566364</v>
      </c>
      <c r="L192" s="7">
        <f>$K191</f>
        <v>3179917604</v>
      </c>
      <c r="M192" s="7">
        <f>$L191</f>
        <v>3195488745</v>
      </c>
    </row>
    <row r="193" spans="1:13">
      <c r="A193" s="7">
        <v>3</v>
      </c>
      <c r="B193" s="7">
        <v>60</v>
      </c>
      <c r="C193" s="7">
        <f>INDEX(Sheet2!$B$2:$B$65,$B193+1)</f>
        <v>4149444226</v>
      </c>
      <c r="D193" s="7">
        <f>INDEX(Sheet2!$C$2:$C$65,$B193+1)</f>
        <v>6</v>
      </c>
      <c r="E193" s="7">
        <f>INDEX(Sheet2!$D$2:$D$65,$B193+1)</f>
        <v>4</v>
      </c>
      <c r="F193" s="7">
        <f>INDEX(Sheet3!$AY$2:$BN$11,$A193,$E193+1)</f>
        <v>2151628607</v>
      </c>
      <c r="G193" s="7">
        <f>IF($B193&lt;16,_xlfn.BITOR(_xlfn.BITAND($K192,$L192),_xlfn.BITAND(4294967295-$K192,$M192)),IF($B193&lt;32,_xlfn.BITOR(_xlfn.BITAND($M192,$K192),_xlfn.BITAND(4294967295-$M192,$L192)),IF($B193&lt;48,_xlfn.BITXOR(_xlfn.BITXOR($K192,$L192),$M192),_xlfn.BITXOR($L192,_xlfn.BITOR($K192,4294967295-$M192)))))</f>
        <v>3630253690</v>
      </c>
      <c r="H193" s="7">
        <f>MOD($G193+$J192+$C193+$F193,4294967296)</f>
        <v>930890457</v>
      </c>
      <c r="I193" s="7">
        <f>MOD($H193,2^(32-$D193))*2^$D193+INT($H193/2^(32-$D193))</f>
        <v>3742414413</v>
      </c>
      <c r="J193" s="7">
        <f>$M192</f>
        <v>3195488745</v>
      </c>
      <c r="K193" s="7">
        <f>MOD($K192+$I193,4294967296)</f>
        <v>1132013481</v>
      </c>
      <c r="L193" s="7">
        <f>$K192</f>
        <v>1684566364</v>
      </c>
      <c r="M193" s="7">
        <f>$L192</f>
        <v>3179917604</v>
      </c>
    </row>
    <row r="194" spans="1:13">
      <c r="A194" s="7">
        <v>3</v>
      </c>
      <c r="B194" s="7">
        <v>61</v>
      </c>
      <c r="C194" s="7">
        <f>INDEX(Sheet2!$B$2:$B$65,$B194+1)</f>
        <v>3174756917</v>
      </c>
      <c r="D194" s="7">
        <f>INDEX(Sheet2!$C$2:$C$65,$B194+1)</f>
        <v>10</v>
      </c>
      <c r="E194" s="7">
        <f>INDEX(Sheet2!$D$2:$D$65,$B194+1)</f>
        <v>11</v>
      </c>
      <c r="F194" s="7">
        <f>INDEX(Sheet3!$AY$2:$BN$11,$A194,$E194+1)</f>
        <v>0</v>
      </c>
      <c r="G194" s="7">
        <f>IF($B194&lt;16,_xlfn.BITOR(_xlfn.BITAND($K193,$L193),_xlfn.BITAND(4294967295-$K193,$M193)),IF($B194&lt;32,_xlfn.BITOR(_xlfn.BITAND($M193,$K193),_xlfn.BITAND(4294967295-$M193,$L193)),IF($B194&lt;48,_xlfn.BITXOR(_xlfn.BITXOR($K193,$L193),$M193),_xlfn.BITXOR($L193,_xlfn.BITOR($K193,4294967295-$M193)))))</f>
        <v>655826599</v>
      </c>
      <c r="H194" s="7">
        <f>MOD($G194+$J193+$C194+$F194,4294967296)</f>
        <v>2731104965</v>
      </c>
      <c r="I194" s="7">
        <f>MOD($H194,2^(32-$D194))*2^$D194+INT($H194/2^(32-$D194))</f>
        <v>627775115</v>
      </c>
      <c r="J194" s="7">
        <f>$M193</f>
        <v>3179917604</v>
      </c>
      <c r="K194" s="7">
        <f>MOD($K193+$I194,4294967296)</f>
        <v>1759788596</v>
      </c>
      <c r="L194" s="7">
        <f>$K193</f>
        <v>1132013481</v>
      </c>
      <c r="M194" s="7">
        <f>$L193</f>
        <v>1684566364</v>
      </c>
    </row>
    <row r="195" spans="1:13">
      <c r="A195" s="7">
        <v>3</v>
      </c>
      <c r="B195" s="7">
        <v>62</v>
      </c>
      <c r="C195" s="7">
        <f>INDEX(Sheet2!$B$2:$B$65,$B195+1)</f>
        <v>718787259</v>
      </c>
      <c r="D195" s="7">
        <f>INDEX(Sheet2!$C$2:$C$65,$B195+1)</f>
        <v>15</v>
      </c>
      <c r="E195" s="7">
        <f>INDEX(Sheet2!$D$2:$D$65,$B195+1)</f>
        <v>2</v>
      </c>
      <c r="F195" s="7">
        <f>INDEX(Sheet3!$AY$2:$BN$11,$A195,$E195+1)</f>
        <v>1601792820</v>
      </c>
      <c r="G195" s="7">
        <f>IF($B195&lt;16,_xlfn.BITOR(_xlfn.BITAND($K194,$L194),_xlfn.BITAND(4294967295-$K194,$M194)),IF($B195&lt;32,_xlfn.BITOR(_xlfn.BITAND($M194,$K194),_xlfn.BITAND(4294967295-$M194,$L194)),IF($B195&lt;48,_xlfn.BITXOR(_xlfn.BITXOR($K194,$L194),$M194),_xlfn.BITXOR($L194,_xlfn.BITOR($K194,4294967295-$M194)))))</f>
        <v>3096353054</v>
      </c>
      <c r="H195" s="7">
        <f>MOD($G195+$J194+$C195+$F195,4294967296)</f>
        <v>6916145</v>
      </c>
      <c r="I195" s="7">
        <f>MOD($H195,2^(32-$D195))*2^$D195+INT($H195/2^(32-$D195))</f>
        <v>3289940020</v>
      </c>
      <c r="J195" s="7">
        <f>$M194</f>
        <v>1684566364</v>
      </c>
      <c r="K195" s="7">
        <f>MOD($K194+$I195,4294967296)</f>
        <v>754761320</v>
      </c>
      <c r="L195" s="7">
        <f>$K194</f>
        <v>1759788596</v>
      </c>
      <c r="M195" s="7">
        <f>$L194</f>
        <v>1132013481</v>
      </c>
    </row>
    <row r="196" spans="1:13">
      <c r="A196" s="7">
        <v>3</v>
      </c>
      <c r="B196" s="7">
        <v>63</v>
      </c>
      <c r="C196" s="7">
        <f>INDEX(Sheet2!$B$2:$B$65,$B196+1)</f>
        <v>3951481745</v>
      </c>
      <c r="D196" s="7">
        <f>INDEX(Sheet2!$C$2:$C$65,$B196+1)</f>
        <v>21</v>
      </c>
      <c r="E196" s="7">
        <f>INDEX(Sheet2!$D$2:$D$65,$B196+1)</f>
        <v>9</v>
      </c>
      <c r="F196" s="7">
        <f>INDEX(Sheet3!$AY$2:$BN$11,$A196,$E196+1)</f>
        <v>0</v>
      </c>
      <c r="G196" s="7">
        <f>IF($B196&lt;16,_xlfn.BITOR(_xlfn.BITAND($K195,$L195),_xlfn.BITAND(4294967295-$K195,$M195)),IF($B196&lt;32,_xlfn.BITOR(_xlfn.BITAND($M195,$K195),_xlfn.BITAND(4294967295-$M195,$L195)),IF($B196&lt;48,_xlfn.BITXOR(_xlfn.BITXOR($K195,$L195),$M195),_xlfn.BITXOR($L195,_xlfn.BITOR($K195,4294967295-$M195)))))</f>
        <v>3558522954</v>
      </c>
      <c r="H196" s="7">
        <f>MOD($G196+$J195+$C196+$F196,4294967296)</f>
        <v>604636471</v>
      </c>
      <c r="I196" s="7">
        <f>MOD($H196,2^(32-$D196))*2^$D196+INT($H196/2^(32-$D196))</f>
        <v>2799993152</v>
      </c>
      <c r="J196" s="7">
        <f>$M195</f>
        <v>1132013481</v>
      </c>
      <c r="K196" s="7">
        <f>MOD($K195+$I196,4294967296)</f>
        <v>3554754472</v>
      </c>
      <c r="L196" s="7">
        <f>$K195</f>
        <v>754761320</v>
      </c>
      <c r="M196" s="7">
        <f>$L195</f>
        <v>1759788596</v>
      </c>
    </row>
    <row r="197" spans="1:13">
      <c r="A197" s="8">
        <v>4</v>
      </c>
      <c r="B197" s="8">
        <v>-1</v>
      </c>
      <c r="J197" s="8">
        <v>1732584193</v>
      </c>
      <c r="K197" s="8">
        <v>4023233417</v>
      </c>
      <c r="L197" s="8">
        <v>2562383102</v>
      </c>
      <c r="M197" s="8">
        <v>271733878</v>
      </c>
    </row>
    <row r="198" spans="1:13">
      <c r="A198" s="7">
        <v>4</v>
      </c>
      <c r="B198" s="7">
        <v>0</v>
      </c>
      <c r="C198" s="7">
        <f>INDEX(Sheet2!$B$2:$B$65,$B198+1)</f>
        <v>3614090360</v>
      </c>
      <c r="D198" s="7">
        <f>INDEX(Sheet2!$C$2:$C$65,$B198+1)</f>
        <v>7</v>
      </c>
      <c r="E198" s="7">
        <f>INDEX(Sheet2!$D$2:$D$65,$B198+1)</f>
        <v>0</v>
      </c>
      <c r="F198" s="7">
        <f>INDEX(Sheet3!$AY$2:$BN$11,$A198,$E198+1)</f>
        <v>1701654643</v>
      </c>
      <c r="G198" s="7">
        <f>IF($B198&lt;16,_xlfn.BITOR(_xlfn.BITAND($K197,$L197),_xlfn.BITAND(4294967295-$K197,$M197)),IF($B198&lt;32,_xlfn.BITOR(_xlfn.BITAND($M197,$K197),_xlfn.BITAND(4294967295-$M197,$L197)),IF($B198&lt;48,_xlfn.BITXOR(_xlfn.BITXOR($K197,$L197),$M197),_xlfn.BITXOR($L197,_xlfn.BITOR($K197,4294967295-$M197)))))</f>
        <v>2562383102</v>
      </c>
      <c r="H198" s="7">
        <f>MOD($G198+$J197+$C198+$F198,4294967296)</f>
        <v>1020777706</v>
      </c>
      <c r="I198" s="7">
        <f>MOD($H198,2^(32-$D198))*2^$D198+INT($H198/2^(32-$D198))</f>
        <v>1810527518</v>
      </c>
      <c r="J198" s="7">
        <f>$M197</f>
        <v>271733878</v>
      </c>
      <c r="K198" s="7">
        <f>MOD($K197+$I198,4294967296)</f>
        <v>1538793639</v>
      </c>
      <c r="L198" s="7">
        <f>$K197</f>
        <v>4023233417</v>
      </c>
      <c r="M198" s="7">
        <f>$L197</f>
        <v>2562383102</v>
      </c>
    </row>
    <row r="199" spans="1:13">
      <c r="A199" s="7">
        <v>4</v>
      </c>
      <c r="B199" s="7">
        <v>1</v>
      </c>
      <c r="C199" s="7">
        <f>INDEX(Sheet2!$B$2:$B$65,$B199+1)</f>
        <v>3905402710</v>
      </c>
      <c r="D199" s="7">
        <f>INDEX(Sheet2!$C$2:$C$65,$B199+1)</f>
        <v>12</v>
      </c>
      <c r="E199" s="7">
        <f>INDEX(Sheet2!$D$2:$D$65,$B199+1)</f>
        <v>1</v>
      </c>
      <c r="F199" s="7">
        <f>INDEX(Sheet3!$AY$2:$BN$11,$A199,$E199+1)</f>
        <v>862876511</v>
      </c>
      <c r="G199" s="7">
        <f>IF($B199&lt;16,_xlfn.BITOR(_xlfn.BITAND($K198,$L198),_xlfn.BITAND(4294967295-$K198,$M198)),IF($B199&lt;32,_xlfn.BITOR(_xlfn.BITAND($M198,$K198),_xlfn.BITAND(4294967295-$M198,$L198)),IF($B199&lt;48,_xlfn.BITXOR(_xlfn.BITXOR($K198,$L198),$M198),_xlfn.BITXOR($L198,_xlfn.BITOR($K198,4294967295-$M198)))))</f>
        <v>3414883545</v>
      </c>
      <c r="H199" s="7">
        <f>MOD($G199+$J198+$C199+$F199,4294967296)</f>
        <v>4159929348</v>
      </c>
      <c r="I199" s="7">
        <f>MOD($H199,2^(32-$D199))*2^$D199+INT($H199/2^(32-$D199))</f>
        <v>935350143</v>
      </c>
      <c r="J199" s="7">
        <f>$M198</f>
        <v>2562383102</v>
      </c>
      <c r="K199" s="7">
        <f>MOD($K198+$I199,4294967296)</f>
        <v>2474143782</v>
      </c>
      <c r="L199" s="7">
        <f>$K198</f>
        <v>1538793639</v>
      </c>
      <c r="M199" s="7">
        <f>$L198</f>
        <v>4023233417</v>
      </c>
    </row>
    <row r="200" spans="1:13">
      <c r="A200" s="7">
        <v>4</v>
      </c>
      <c r="B200" s="7">
        <v>2</v>
      </c>
      <c r="C200" s="7">
        <f>INDEX(Sheet2!$B$2:$B$65,$B200+1)</f>
        <v>606105819</v>
      </c>
      <c r="D200" s="7">
        <f>INDEX(Sheet2!$C$2:$C$65,$B200+1)</f>
        <v>17</v>
      </c>
      <c r="E200" s="7">
        <f>INDEX(Sheet2!$D$2:$D$65,$B200+1)</f>
        <v>2</v>
      </c>
      <c r="F200" s="7">
        <f>INDEX(Sheet3!$AY$2:$BN$11,$A200,$E200+1)</f>
        <v>1601792820</v>
      </c>
      <c r="G200" s="7">
        <f>IF($B200&lt;16,_xlfn.BITOR(_xlfn.BITAND($K199,$L199),_xlfn.BITAND(4294967295-$K199,$M199)),IF($B200&lt;32,_xlfn.BITOR(_xlfn.BITAND($M199,$K199),_xlfn.BITAND(4294967295-$M199,$L199)),IF($B200&lt;48,_xlfn.BITXOR(_xlfn.BITXOR($K199,$L199),$M199),_xlfn.BITXOR($L199,_xlfn.BITOR($K199,4294967295-$M199)))))</f>
        <v>2143136687</v>
      </c>
      <c r="H200" s="7">
        <f>MOD($G200+$J199+$C200+$F200,4294967296)</f>
        <v>2618451132</v>
      </c>
      <c r="I200" s="7">
        <f>MOD($H200,2^(32-$D200))*2^$D200+INT($H200/2^(32-$D200))</f>
        <v>3380164644</v>
      </c>
      <c r="J200" s="7">
        <f>$M199</f>
        <v>4023233417</v>
      </c>
      <c r="K200" s="7">
        <f>MOD($K199+$I200,4294967296)</f>
        <v>1559341130</v>
      </c>
      <c r="L200" s="7">
        <f>$K199</f>
        <v>2474143782</v>
      </c>
      <c r="M200" s="7">
        <f>$L199</f>
        <v>1538793639</v>
      </c>
    </row>
    <row r="201" spans="1:13">
      <c r="A201" s="7">
        <v>4</v>
      </c>
      <c r="B201" s="7">
        <v>3</v>
      </c>
      <c r="C201" s="7">
        <f>INDEX(Sheet2!$B$2:$B$65,$B201+1)</f>
        <v>3250441966</v>
      </c>
      <c r="D201" s="7">
        <f>INDEX(Sheet2!$C$2:$C$65,$B201+1)</f>
        <v>22</v>
      </c>
      <c r="E201" s="7">
        <f>INDEX(Sheet2!$D$2:$D$65,$B201+1)</f>
        <v>3</v>
      </c>
      <c r="F201" s="7">
        <f>INDEX(Sheet3!$AY$2:$BN$11,$A201,$E201+1)</f>
        <v>1953248371</v>
      </c>
      <c r="G201" s="7">
        <f>IF($B201&lt;16,_xlfn.BITOR(_xlfn.BITAND($K200,$L200),_xlfn.BITAND(4294967295-$K200,$M200)),IF($B201&lt;32,_xlfn.BITOR(_xlfn.BITAND($M200,$K200),_xlfn.BITAND(4294967295-$M200,$L200)),IF($B201&lt;48,_xlfn.BITXOR(_xlfn.BITXOR($K200,$L200),$M200),_xlfn.BITXOR($L200,_xlfn.BITOR($K200,4294967295-$M200)))))</f>
        <v>326639783</v>
      </c>
      <c r="H201" s="7">
        <f>MOD($G201+$J200+$C201+$F201,4294967296)</f>
        <v>963628945</v>
      </c>
      <c r="I201" s="7">
        <f>MOD($H201,2^(32-$D201))*2^$D201+INT($H201/2^(32-$D201))</f>
        <v>3830340595</v>
      </c>
      <c r="J201" s="7">
        <f>$M200</f>
        <v>1538793639</v>
      </c>
      <c r="K201" s="7">
        <f>MOD($K200+$I201,4294967296)</f>
        <v>1094714429</v>
      </c>
      <c r="L201" s="7">
        <f>$K200</f>
        <v>1559341130</v>
      </c>
      <c r="M201" s="7">
        <f>$L200</f>
        <v>2474143782</v>
      </c>
    </row>
    <row r="202" spans="1:13">
      <c r="A202" s="7">
        <v>4</v>
      </c>
      <c r="B202" s="7">
        <v>4</v>
      </c>
      <c r="C202" s="7">
        <f>INDEX(Sheet2!$B$2:$B$65,$B202+1)</f>
        <v>4118548399</v>
      </c>
      <c r="D202" s="7">
        <f>INDEX(Sheet2!$C$2:$C$65,$B202+1)</f>
        <v>7</v>
      </c>
      <c r="E202" s="7">
        <f>INDEX(Sheet2!$D$2:$D$65,$B202+1)</f>
        <v>4</v>
      </c>
      <c r="F202" s="7">
        <f>INDEX(Sheet3!$AY$2:$BN$11,$A202,$E202+1)</f>
        <v>2151628607</v>
      </c>
      <c r="G202" s="7">
        <f>IF($B202&lt;16,_xlfn.BITOR(_xlfn.BITAND($K201,$L201),_xlfn.BITAND(4294967295-$K201,$M201)),IF($B202&lt;32,_xlfn.BITOR(_xlfn.BITAND($M201,$K201),_xlfn.BITAND(4294967295-$M201,$L201)),IF($B202&lt;48,_xlfn.BITXOR(_xlfn.BITXOR($K201,$L201),$M201),_xlfn.BITXOR($L201,_xlfn.BITOR($K201,4294967295-$M201)))))</f>
        <v>3531108362</v>
      </c>
      <c r="H202" s="7">
        <f>MOD($G202+$J201+$C202+$F202,4294967296)</f>
        <v>2750144415</v>
      </c>
      <c r="I202" s="7">
        <f>MOD($H202,2^(32-$D202))*2^$D202+INT($H202/2^(32-$D202))</f>
        <v>4126134225</v>
      </c>
      <c r="J202" s="7">
        <f>$M201</f>
        <v>2474143782</v>
      </c>
      <c r="K202" s="7">
        <f>MOD($K201+$I202,4294967296)</f>
        <v>925881358</v>
      </c>
      <c r="L202" s="7">
        <f>$K201</f>
        <v>1094714429</v>
      </c>
      <c r="M202" s="7">
        <f>$L201</f>
        <v>1559341130</v>
      </c>
    </row>
    <row r="203" spans="1:13">
      <c r="A203" s="7">
        <v>4</v>
      </c>
      <c r="B203" s="7">
        <v>5</v>
      </c>
      <c r="C203" s="7">
        <f>INDEX(Sheet2!$B$2:$B$65,$B203+1)</f>
        <v>1200080426</v>
      </c>
      <c r="D203" s="7">
        <f>INDEX(Sheet2!$C$2:$C$65,$B203+1)</f>
        <v>12</v>
      </c>
      <c r="E203" s="7">
        <f>INDEX(Sheet2!$D$2:$D$65,$B203+1)</f>
        <v>5</v>
      </c>
      <c r="F203" s="7">
        <f>INDEX(Sheet3!$AY$2:$BN$11,$A203,$E203+1)</f>
        <v>0</v>
      </c>
      <c r="G203" s="7">
        <f>IF($B203&lt;16,_xlfn.BITOR(_xlfn.BITAND($K202,$L202),_xlfn.BITAND(4294967295-$K202,$M202)),IF($B203&lt;32,_xlfn.BITOR(_xlfn.BITAND($M202,$K202),_xlfn.BITAND(4294967295-$M202,$L202)),IF($B203&lt;48,_xlfn.BITXOR(_xlfn.BITXOR($K202,$L202),$M202),_xlfn.BITXOR($L202,_xlfn.BITOR($K202,4294967295-$M202)))))</f>
        <v>1238379596</v>
      </c>
      <c r="H203" s="7">
        <f>MOD($G203+$J202+$C203+$F203,4294967296)</f>
        <v>617636508</v>
      </c>
      <c r="I203" s="7">
        <f>MOD($H203,2^(32-$D203))*2^$D203+INT($H203/2^(32-$D203))</f>
        <v>103400013</v>
      </c>
      <c r="J203" s="7">
        <f>$M202</f>
        <v>1559341130</v>
      </c>
      <c r="K203" s="7">
        <f>MOD($K202+$I203,4294967296)</f>
        <v>1029281371</v>
      </c>
      <c r="L203" s="7">
        <f>$K202</f>
        <v>925881358</v>
      </c>
      <c r="M203" s="7">
        <f>$L202</f>
        <v>1094714429</v>
      </c>
    </row>
    <row r="204" spans="1:13">
      <c r="A204" s="7">
        <v>4</v>
      </c>
      <c r="B204" s="7">
        <v>6</v>
      </c>
      <c r="C204" s="7">
        <f>INDEX(Sheet2!$B$2:$B$65,$B204+1)</f>
        <v>2821735955</v>
      </c>
      <c r="D204" s="7">
        <f>INDEX(Sheet2!$C$2:$C$65,$B204+1)</f>
        <v>17</v>
      </c>
      <c r="E204" s="7">
        <f>INDEX(Sheet2!$D$2:$D$65,$B204+1)</f>
        <v>6</v>
      </c>
      <c r="F204" s="7">
        <f>INDEX(Sheet3!$AY$2:$BN$11,$A204,$E204+1)</f>
        <v>0</v>
      </c>
      <c r="G204" s="7">
        <f>IF($B204&lt;16,_xlfn.BITOR(_xlfn.BITAND($K203,$L203),_xlfn.BITAND(4294967295-$K203,$M203)),IF($B204&lt;32,_xlfn.BITOR(_xlfn.BITAND($M203,$K203),_xlfn.BITAND(4294967295-$M203,$L203)),IF($B204&lt;48,_xlfn.BITXOR(_xlfn.BITXOR($K203,$L203),$M203),_xlfn.BITXOR($L203,_xlfn.BITOR($K203,4294967295-$M203)))))</f>
        <v>1963562030</v>
      </c>
      <c r="H204" s="7">
        <f>MOD($G204+$J203+$C204+$F204,4294967296)</f>
        <v>2049671819</v>
      </c>
      <c r="I204" s="7">
        <f>MOD($H204,2^(32-$D204))*2^$D204+INT($H204/2^(32-$D204))</f>
        <v>85390423</v>
      </c>
      <c r="J204" s="7">
        <f>$M203</f>
        <v>1094714429</v>
      </c>
      <c r="K204" s="7">
        <f>MOD($K203+$I204,4294967296)</f>
        <v>1114671794</v>
      </c>
      <c r="L204" s="7">
        <f>$K203</f>
        <v>1029281371</v>
      </c>
      <c r="M204" s="7">
        <f>$L203</f>
        <v>925881358</v>
      </c>
    </row>
    <row r="205" spans="1:13">
      <c r="A205" s="7">
        <v>4</v>
      </c>
      <c r="B205" s="7">
        <v>7</v>
      </c>
      <c r="C205" s="7">
        <f>INDEX(Sheet2!$B$2:$B$65,$B205+1)</f>
        <v>4249261313</v>
      </c>
      <c r="D205" s="7">
        <f>INDEX(Sheet2!$C$2:$C$65,$B205+1)</f>
        <v>22</v>
      </c>
      <c r="E205" s="7">
        <f>INDEX(Sheet2!$D$2:$D$65,$B205+1)</f>
        <v>7</v>
      </c>
      <c r="F205" s="7">
        <f>INDEX(Sheet3!$AY$2:$BN$11,$A205,$E205+1)</f>
        <v>0</v>
      </c>
      <c r="G205" s="7">
        <f>IF($B205&lt;16,_xlfn.BITOR(_xlfn.BITAND($K204,$L204),_xlfn.BITAND(4294967295-$K204,$M204)),IF($B205&lt;32,_xlfn.BITOR(_xlfn.BITAND($M204,$K204),_xlfn.BITAND(4294967295-$M204,$L204)),IF($B205&lt;48,_xlfn.BITXOR(_xlfn.BITXOR($K204,$L204),$M204),_xlfn.BITXOR($L204,_xlfn.BITOR($K204,4294967295-$M204)))))</f>
        <v>895473182</v>
      </c>
      <c r="H205" s="7">
        <f>MOD($G205+$J204+$C205+$F205,4294967296)</f>
        <v>1944481628</v>
      </c>
      <c r="I205" s="7">
        <f>MOD($H205,2^(32-$D205))*2^$D205+INT($H205/2^(32-$D205))</f>
        <v>3609000347</v>
      </c>
      <c r="J205" s="7">
        <f>$M204</f>
        <v>925881358</v>
      </c>
      <c r="K205" s="7">
        <f>MOD($K204+$I205,4294967296)</f>
        <v>428704845</v>
      </c>
      <c r="L205" s="7">
        <f>$K204</f>
        <v>1114671794</v>
      </c>
      <c r="M205" s="7">
        <f>$L204</f>
        <v>1029281371</v>
      </c>
    </row>
    <row r="206" spans="1:13">
      <c r="A206" s="7">
        <v>4</v>
      </c>
      <c r="B206" s="7">
        <v>8</v>
      </c>
      <c r="C206" s="7">
        <f>INDEX(Sheet2!$B$2:$B$65,$B206+1)</f>
        <v>1770035416</v>
      </c>
      <c r="D206" s="7">
        <f>INDEX(Sheet2!$C$2:$C$65,$B206+1)</f>
        <v>7</v>
      </c>
      <c r="E206" s="7">
        <f>INDEX(Sheet2!$D$2:$D$65,$B206+1)</f>
        <v>8</v>
      </c>
      <c r="F206" s="7">
        <f>INDEX(Sheet3!$AY$2:$BN$11,$A206,$E206+1)</f>
        <v>0</v>
      </c>
      <c r="G206" s="7">
        <f>IF($B206&lt;16,_xlfn.BITOR(_xlfn.BITAND($K205,$L205),_xlfn.BITAND(4294967295-$K205,$M205)),IF($B206&lt;32,_xlfn.BITOR(_xlfn.BITAND($M205,$K205),_xlfn.BITAND(4294967295-$M205,$L205)),IF($B206&lt;48,_xlfn.BITXOR(_xlfn.BITXOR($K205,$L205),$M205),_xlfn.BITXOR($L205,_xlfn.BITOR($K205,4294967295-$M205)))))</f>
        <v>609260050</v>
      </c>
      <c r="H206" s="7">
        <f>MOD($G206+$J205+$C206+$F206,4294967296)</f>
        <v>3305176824</v>
      </c>
      <c r="I206" s="7">
        <f>MOD($H206,2^(32-$D206))*2^$D206+INT($H206/2^(32-$D206))</f>
        <v>2155838562</v>
      </c>
      <c r="J206" s="7">
        <f>$M205</f>
        <v>1029281371</v>
      </c>
      <c r="K206" s="7">
        <f>MOD($K205+$I206,4294967296)</f>
        <v>2584543407</v>
      </c>
      <c r="L206" s="7">
        <f>$K205</f>
        <v>428704845</v>
      </c>
      <c r="M206" s="7">
        <f>$L205</f>
        <v>1114671794</v>
      </c>
    </row>
    <row r="207" spans="1:13">
      <c r="A207" s="7">
        <v>4</v>
      </c>
      <c r="B207" s="7">
        <v>9</v>
      </c>
      <c r="C207" s="7">
        <f>INDEX(Sheet2!$B$2:$B$65,$B207+1)</f>
        <v>2336552879</v>
      </c>
      <c r="D207" s="7">
        <f>INDEX(Sheet2!$C$2:$C$65,$B207+1)</f>
        <v>12</v>
      </c>
      <c r="E207" s="7">
        <f>INDEX(Sheet2!$D$2:$D$65,$B207+1)</f>
        <v>9</v>
      </c>
      <c r="F207" s="7">
        <f>INDEX(Sheet3!$AY$2:$BN$11,$A207,$E207+1)</f>
        <v>0</v>
      </c>
      <c r="G207" s="7">
        <f>IF($B207&lt;16,_xlfn.BITOR(_xlfn.BITAND($K206,$L206),_xlfn.BITAND(4294967295-$K206,$M206)),IF($B207&lt;32,_xlfn.BITOR(_xlfn.BITAND($M206,$K206),_xlfn.BITAND(4294967295-$M206,$L206)),IF($B207&lt;48,_xlfn.BITXOR(_xlfn.BITXOR($K206,$L206),$M206),_xlfn.BITXOR($L206,_xlfn.BITOR($K206,4294967295-$M206)))))</f>
        <v>1484622365</v>
      </c>
      <c r="H207" s="7">
        <f>MOD($G207+$J206+$C207+$F207,4294967296)</f>
        <v>555489319</v>
      </c>
      <c r="I207" s="7">
        <f>MOD($H207,2^(32-$D207))*2^$D207+INT($H207/2^(32-$D207))</f>
        <v>3246551569</v>
      </c>
      <c r="J207" s="7">
        <f>$M206</f>
        <v>1114671794</v>
      </c>
      <c r="K207" s="7">
        <f>MOD($K206+$I207,4294967296)</f>
        <v>1536127680</v>
      </c>
      <c r="L207" s="7">
        <f>$K206</f>
        <v>2584543407</v>
      </c>
      <c r="M207" s="7">
        <f>$L206</f>
        <v>428704845</v>
      </c>
    </row>
    <row r="208" spans="1:13">
      <c r="A208" s="7">
        <v>4</v>
      </c>
      <c r="B208" s="7">
        <v>10</v>
      </c>
      <c r="C208" s="7">
        <f>INDEX(Sheet2!$B$2:$B$65,$B208+1)</f>
        <v>4294925233</v>
      </c>
      <c r="D208" s="7">
        <f>INDEX(Sheet2!$C$2:$C$65,$B208+1)</f>
        <v>17</v>
      </c>
      <c r="E208" s="7">
        <f>INDEX(Sheet2!$D$2:$D$65,$B208+1)</f>
        <v>10</v>
      </c>
      <c r="F208" s="7">
        <f>INDEX(Sheet3!$AY$2:$BN$11,$A208,$E208+1)</f>
        <v>0</v>
      </c>
      <c r="G208" s="7">
        <f>IF($B208&lt;16,_xlfn.BITOR(_xlfn.BITAND($K207,$L207),_xlfn.BITAND(4294967295-$K207,$M207)),IF($B208&lt;32,_xlfn.BITOR(_xlfn.BITAND($M207,$K207),_xlfn.BITAND(4294967295-$M207,$L207)),IF($B208&lt;48,_xlfn.BITXOR(_xlfn.BITXOR($K207,$L207),$M207),_xlfn.BITXOR($L207,_xlfn.BITOR($K207,4294967295-$M207)))))</f>
        <v>437093517</v>
      </c>
      <c r="H208" s="7">
        <f>MOD($G208+$J207+$C208+$F208,4294967296)</f>
        <v>1551723248</v>
      </c>
      <c r="I208" s="7">
        <f>MOD($H208,2^(32-$D208))*2^$D208+INT($H208/2^(32-$D208))</f>
        <v>3588274426</v>
      </c>
      <c r="J208" s="7">
        <f>$M207</f>
        <v>428704845</v>
      </c>
      <c r="K208" s="7">
        <f>MOD($K207+$I208,4294967296)</f>
        <v>829434810</v>
      </c>
      <c r="L208" s="7">
        <f>$K207</f>
        <v>1536127680</v>
      </c>
      <c r="M208" s="7">
        <f>$L207</f>
        <v>2584543407</v>
      </c>
    </row>
    <row r="209" spans="1:13">
      <c r="A209" s="7">
        <v>4</v>
      </c>
      <c r="B209" s="7">
        <v>11</v>
      </c>
      <c r="C209" s="7">
        <f>INDEX(Sheet2!$B$2:$B$65,$B209+1)</f>
        <v>2304563134</v>
      </c>
      <c r="D209" s="7">
        <f>INDEX(Sheet2!$C$2:$C$65,$B209+1)</f>
        <v>22</v>
      </c>
      <c r="E209" s="7">
        <f>INDEX(Sheet2!$D$2:$D$65,$B209+1)</f>
        <v>11</v>
      </c>
      <c r="F209" s="7">
        <f>INDEX(Sheet3!$AY$2:$BN$11,$A209,$E209+1)</f>
        <v>0</v>
      </c>
      <c r="G209" s="7">
        <f>IF($B209&lt;16,_xlfn.BITOR(_xlfn.BITAND($K208,$L208),_xlfn.BITAND(4294967295-$K208,$M208)),IF($B209&lt;32,_xlfn.BITOR(_xlfn.BITAND($M208,$K208),_xlfn.BITAND(4294967295-$M208,$L208)),IF($B209&lt;48,_xlfn.BITXOR(_xlfn.BITXOR($K208,$L208),$M208),_xlfn.BITXOR($L208,_xlfn.BITOR($K208,4294967295-$M208)))))</f>
        <v>2601329285</v>
      </c>
      <c r="H209" s="7">
        <f>MOD($G209+$J208+$C209+$F209,4294967296)</f>
        <v>1039629968</v>
      </c>
      <c r="I209" s="7">
        <f>MOD($H209,2^(32-$D209))*2^$D209+INT($H209/2^(32-$D209))</f>
        <v>2752478687</v>
      </c>
      <c r="J209" s="7">
        <f>$M208</f>
        <v>2584543407</v>
      </c>
      <c r="K209" s="7">
        <f>MOD($K208+$I209,4294967296)</f>
        <v>3581913497</v>
      </c>
      <c r="L209" s="7">
        <f>$K208</f>
        <v>829434810</v>
      </c>
      <c r="M209" s="7">
        <f>$L208</f>
        <v>1536127680</v>
      </c>
    </row>
    <row r="210" spans="1:13">
      <c r="A210" s="7">
        <v>4</v>
      </c>
      <c r="B210" s="7">
        <v>12</v>
      </c>
      <c r="C210" s="7">
        <f>INDEX(Sheet2!$B$2:$B$65,$B210+1)</f>
        <v>1804603682</v>
      </c>
      <c r="D210" s="7">
        <f>INDEX(Sheet2!$C$2:$C$65,$B210+1)</f>
        <v>7</v>
      </c>
      <c r="E210" s="7">
        <f>INDEX(Sheet2!$D$2:$D$65,$B210+1)</f>
        <v>12</v>
      </c>
      <c r="F210" s="7">
        <f>INDEX(Sheet3!$AY$2:$BN$11,$A210,$E210+1)</f>
        <v>0</v>
      </c>
      <c r="G210" s="7">
        <f>IF($B210&lt;16,_xlfn.BITOR(_xlfn.BITAND($K209,$L209),_xlfn.BITAND(4294967295-$K209,$M209)),IF($B210&lt;32,_xlfn.BITOR(_xlfn.BITAND($M209,$K209),_xlfn.BITAND(4294967295-$M209,$L209)),IF($B210&lt;48,_xlfn.BITXOR(_xlfn.BITXOR($K209,$L209),$M209),_xlfn.BITXOR($L209,_xlfn.BITOR($K209,4294967295-$M209)))))</f>
        <v>468745176</v>
      </c>
      <c r="H210" s="7">
        <f>MOD($G210+$J209+$C210+$F210,4294967296)</f>
        <v>562924969</v>
      </c>
      <c r="I210" s="7">
        <f>MOD($H210,2^(32-$D210))*2^$D210+INT($H210/2^(32-$D210))</f>
        <v>3334919312</v>
      </c>
      <c r="J210" s="7">
        <f>$M209</f>
        <v>1536127680</v>
      </c>
      <c r="K210" s="7">
        <f>MOD($K209+$I210,4294967296)</f>
        <v>2621865513</v>
      </c>
      <c r="L210" s="7">
        <f>$K209</f>
        <v>3581913497</v>
      </c>
      <c r="M210" s="7">
        <f>$L209</f>
        <v>829434810</v>
      </c>
    </row>
    <row r="211" spans="1:13">
      <c r="A211" s="7">
        <v>4</v>
      </c>
      <c r="B211" s="7">
        <v>13</v>
      </c>
      <c r="C211" s="7">
        <f>INDEX(Sheet2!$B$2:$B$65,$B211+1)</f>
        <v>4254626195</v>
      </c>
      <c r="D211" s="7">
        <f>INDEX(Sheet2!$C$2:$C$65,$B211+1)</f>
        <v>12</v>
      </c>
      <c r="E211" s="7">
        <f>INDEX(Sheet2!$D$2:$D$65,$B211+1)</f>
        <v>13</v>
      </c>
      <c r="F211" s="7">
        <f>INDEX(Sheet3!$AY$2:$BN$11,$A211,$E211+1)</f>
        <v>0</v>
      </c>
      <c r="G211" s="7">
        <f>IF($B211&lt;16,_xlfn.BITOR(_xlfn.BITAND($K210,$L210),_xlfn.BITAND(4294967295-$K210,$M210)),IF($B211&lt;32,_xlfn.BITOR(_xlfn.BITAND($M210,$K210),_xlfn.BITAND(4294967295-$M210,$L210)),IF($B211&lt;48,_xlfn.BITXOR(_xlfn.BITXOR($K210,$L210),$M210),_xlfn.BITXOR($L210,_xlfn.BITOR($K210,4294967295-$M210)))))</f>
        <v>3044419995</v>
      </c>
      <c r="H211" s="7">
        <f>MOD($G211+$J210+$C211+$F211,4294967296)</f>
        <v>245239278</v>
      </c>
      <c r="I211" s="7">
        <f>MOD($H211,2^(32-$D211))*2^$D211+INT($H211/2^(32-$D211))</f>
        <v>3772702953</v>
      </c>
      <c r="J211" s="7">
        <f>$M210</f>
        <v>829434810</v>
      </c>
      <c r="K211" s="7">
        <f>MOD($K210+$I211,4294967296)</f>
        <v>2099601170</v>
      </c>
      <c r="L211" s="7">
        <f>$K210</f>
        <v>2621865513</v>
      </c>
      <c r="M211" s="7">
        <f>$L210</f>
        <v>3581913497</v>
      </c>
    </row>
    <row r="212" spans="1:13">
      <c r="A212" s="7">
        <v>4</v>
      </c>
      <c r="B212" s="7">
        <v>14</v>
      </c>
      <c r="C212" s="7">
        <f>INDEX(Sheet2!$B$2:$B$65,$B212+1)</f>
        <v>2792965006</v>
      </c>
      <c r="D212" s="7">
        <f>INDEX(Sheet2!$C$2:$C$65,$B212+1)</f>
        <v>17</v>
      </c>
      <c r="E212" s="7">
        <f>INDEX(Sheet2!$D$2:$D$65,$B212+1)</f>
        <v>14</v>
      </c>
      <c r="F212" s="7">
        <f>INDEX(Sheet3!$AY$2:$BN$11,$A212,$E212+1)</f>
        <v>152</v>
      </c>
      <c r="G212" s="7">
        <f>IF($B212&lt;16,_xlfn.BITOR(_xlfn.BITAND($K211,$L211),_xlfn.BITAND(4294967295-$K211,$M211)),IF($B212&lt;32,_xlfn.BITOR(_xlfn.BITAND($M211,$K211),_xlfn.BITAND(4294967295-$M211,$L211)),IF($B212&lt;48,_xlfn.BITXOR(_xlfn.BITXOR($K211,$L211),$M211),_xlfn.BITXOR($L211,_xlfn.BITOR($K211,4294967295-$M211)))))</f>
        <v>2623471241</v>
      </c>
      <c r="H212" s="7">
        <f>MOD($G212+$J211+$C212+$F212,4294967296)</f>
        <v>1950903913</v>
      </c>
      <c r="I212" s="7">
        <f>MOD($H212,2^(32-$D212))*2^$D212+INT($H212/2^(32-$D212))</f>
        <v>3704809616</v>
      </c>
      <c r="J212" s="7">
        <f>$M211</f>
        <v>3581913497</v>
      </c>
      <c r="K212" s="7">
        <f>MOD($K211+$I212,4294967296)</f>
        <v>1509443490</v>
      </c>
      <c r="L212" s="7">
        <f>$K211</f>
        <v>2099601170</v>
      </c>
      <c r="M212" s="7">
        <f>$L211</f>
        <v>2621865513</v>
      </c>
    </row>
    <row r="213" spans="1:13">
      <c r="A213" s="7">
        <v>4</v>
      </c>
      <c r="B213" s="7">
        <v>15</v>
      </c>
      <c r="C213" s="7">
        <f>INDEX(Sheet2!$B$2:$B$65,$B213+1)</f>
        <v>1236535329</v>
      </c>
      <c r="D213" s="7">
        <f>INDEX(Sheet2!$C$2:$C$65,$B213+1)</f>
        <v>22</v>
      </c>
      <c r="E213" s="7">
        <f>INDEX(Sheet2!$D$2:$D$65,$B213+1)</f>
        <v>15</v>
      </c>
      <c r="F213" s="7">
        <f>INDEX(Sheet3!$AY$2:$BN$11,$A213,$E213+1)</f>
        <v>0</v>
      </c>
      <c r="G213" s="7">
        <f>IF($B213&lt;16,_xlfn.BITOR(_xlfn.BITAND($K212,$L212),_xlfn.BITAND(4294967295-$K212,$M212)),IF($B213&lt;32,_xlfn.BITOR(_xlfn.BITAND($M212,$K212),_xlfn.BITAND(4294967295-$M212,$L212)),IF($B213&lt;48,_xlfn.BITXOR(_xlfn.BITXOR($K212,$L212),$M212),_xlfn.BITXOR($L212,_xlfn.BITOR($K212,4294967295-$M212)))))</f>
        <v>3710287627</v>
      </c>
      <c r="H213" s="7">
        <f>MOD($G213+$J212+$C213+$F213,4294967296)</f>
        <v>4233769157</v>
      </c>
      <c r="I213" s="7">
        <f>MOD($H213,2^(32-$D213))*2^$D213+INT($H213/2^(32-$D213))</f>
        <v>830412428</v>
      </c>
      <c r="J213" s="7">
        <f>$M212</f>
        <v>2621865513</v>
      </c>
      <c r="K213" s="7">
        <f>MOD($K212+$I213,4294967296)</f>
        <v>2339855918</v>
      </c>
      <c r="L213" s="7">
        <f>$K212</f>
        <v>1509443490</v>
      </c>
      <c r="M213" s="7">
        <f>$L212</f>
        <v>2099601170</v>
      </c>
    </row>
    <row r="214" spans="1:13">
      <c r="A214" s="7">
        <v>4</v>
      </c>
      <c r="B214" s="7">
        <v>16</v>
      </c>
      <c r="C214" s="7">
        <f>INDEX(Sheet2!$B$2:$B$65,$B214+1)</f>
        <v>4129170786</v>
      </c>
      <c r="D214" s="7">
        <f>INDEX(Sheet2!$C$2:$C$65,$B214+1)</f>
        <v>5</v>
      </c>
      <c r="E214" s="7">
        <f>INDEX(Sheet2!$D$2:$D$65,$B214+1)</f>
        <v>1</v>
      </c>
      <c r="F214" s="7">
        <f>INDEX(Sheet3!$AY$2:$BN$11,$A214,$E214+1)</f>
        <v>862876511</v>
      </c>
      <c r="G214" s="7">
        <f>IF($B214&lt;16,_xlfn.BITOR(_xlfn.BITAND($K213,$L213),_xlfn.BITAND(4294967295-$K213,$M213)),IF($B214&lt;32,_xlfn.BITOR(_xlfn.BITAND($M213,$K213),_xlfn.BITAND(4294967295-$M213,$L213)),IF($B214&lt;48,_xlfn.BITXOR(_xlfn.BITXOR($K213,$L213),$M213),_xlfn.BITXOR($L213,_xlfn.BITOR($K213,4294967295-$M213)))))</f>
        <v>167599778</v>
      </c>
      <c r="H214" s="7">
        <f>MOD($G214+$J213+$C214+$F214,4294967296)</f>
        <v>3486545292</v>
      </c>
      <c r="I214" s="7">
        <f>MOD($H214,2^(32-$D214))*2^$D214+INT($H214/2^(32-$D214))</f>
        <v>4195266969</v>
      </c>
      <c r="J214" s="7">
        <f>$M213</f>
        <v>2099601170</v>
      </c>
      <c r="K214" s="7">
        <f>MOD($K213+$I214,4294967296)</f>
        <v>2240155591</v>
      </c>
      <c r="L214" s="7">
        <f>$K213</f>
        <v>2339855918</v>
      </c>
      <c r="M214" s="7">
        <f>$L213</f>
        <v>1509443490</v>
      </c>
    </row>
    <row r="215" spans="1:13">
      <c r="A215" s="7">
        <v>4</v>
      </c>
      <c r="B215" s="7">
        <v>17</v>
      </c>
      <c r="C215" s="7">
        <f>INDEX(Sheet2!$B$2:$B$65,$B215+1)</f>
        <v>3225465664</v>
      </c>
      <c r="D215" s="7">
        <f>INDEX(Sheet2!$C$2:$C$65,$B215+1)</f>
        <v>9</v>
      </c>
      <c r="E215" s="7">
        <f>INDEX(Sheet2!$D$2:$D$65,$B215+1)</f>
        <v>6</v>
      </c>
      <c r="F215" s="7">
        <f>INDEX(Sheet3!$AY$2:$BN$11,$A215,$E215+1)</f>
        <v>0</v>
      </c>
      <c r="G215" s="7">
        <f>IF($B215&lt;16,_xlfn.BITOR(_xlfn.BITAND($K214,$L214),_xlfn.BITAND(4294967295-$K214,$M214)),IF($B215&lt;32,_xlfn.BITOR(_xlfn.BITAND($M214,$K214),_xlfn.BITAND(4294967295-$M214,$L214)),IF($B215&lt;48,_xlfn.BITXOR(_xlfn.BITXOR($K214,$L214),$M214),_xlfn.BITXOR($L214,_xlfn.BITOR($K214,4294967295-$M214)))))</f>
        <v>2206670734</v>
      </c>
      <c r="H215" s="7">
        <f>MOD($G215+$J214+$C215+$F215,4294967296)</f>
        <v>3236770272</v>
      </c>
      <c r="I215" s="7">
        <f>MOD($H215,2^(32-$D215))*2^$D215+INT($H215/2^(32-$D215))</f>
        <v>3663970689</v>
      </c>
      <c r="J215" s="7">
        <f>$M214</f>
        <v>1509443490</v>
      </c>
      <c r="K215" s="7">
        <f>MOD($K214+$I215,4294967296)</f>
        <v>1609158984</v>
      </c>
      <c r="L215" s="7">
        <f>$K214</f>
        <v>2240155591</v>
      </c>
      <c r="M215" s="7">
        <f>$L214</f>
        <v>2339855918</v>
      </c>
    </row>
    <row r="216" spans="1:13">
      <c r="A216" s="7">
        <v>4</v>
      </c>
      <c r="B216" s="7">
        <v>18</v>
      </c>
      <c r="C216" s="7">
        <f>INDEX(Sheet2!$B$2:$B$65,$B216+1)</f>
        <v>643717713</v>
      </c>
      <c r="D216" s="7">
        <f>INDEX(Sheet2!$C$2:$C$65,$B216+1)</f>
        <v>14</v>
      </c>
      <c r="E216" s="7">
        <f>INDEX(Sheet2!$D$2:$D$65,$B216+1)</f>
        <v>11</v>
      </c>
      <c r="F216" s="7">
        <f>INDEX(Sheet3!$AY$2:$BN$11,$A216,$E216+1)</f>
        <v>0</v>
      </c>
      <c r="G216" s="7">
        <f>IF($B216&lt;16,_xlfn.BITOR(_xlfn.BITAND($K215,$L215),_xlfn.BITAND(4294967295-$K215,$M215)),IF($B216&lt;32,_xlfn.BITOR(_xlfn.BITAND($M215,$K215),_xlfn.BITAND(4294967295-$M215,$L215)),IF($B216&lt;48,_xlfn.BITXOR(_xlfn.BITXOR($K215,$L215),$M215),_xlfn.BITXOR($L215,_xlfn.BITOR($K215,4294967295-$M215)))))</f>
        <v>266424777</v>
      </c>
      <c r="H216" s="7">
        <f>MOD($G216+$J215+$C216+$F216,4294967296)</f>
        <v>2419585980</v>
      </c>
      <c r="I216" s="7">
        <f>MOD($H216,2^(32-$D216))*2^$D216+INT($H216/2^(32-$D216))</f>
        <v>4243530765</v>
      </c>
      <c r="J216" s="7">
        <f>$M215</f>
        <v>2339855918</v>
      </c>
      <c r="K216" s="7">
        <f>MOD($K215+$I216,4294967296)</f>
        <v>1557722453</v>
      </c>
      <c r="L216" s="7">
        <f>$K215</f>
        <v>1609158984</v>
      </c>
      <c r="M216" s="7">
        <f>$L215</f>
        <v>2240155591</v>
      </c>
    </row>
    <row r="217" spans="1:13">
      <c r="A217" s="7">
        <v>4</v>
      </c>
      <c r="B217" s="7">
        <v>19</v>
      </c>
      <c r="C217" s="7">
        <f>INDEX(Sheet2!$B$2:$B$65,$B217+1)</f>
        <v>3921069994</v>
      </c>
      <c r="D217" s="7">
        <f>INDEX(Sheet2!$C$2:$C$65,$B217+1)</f>
        <v>20</v>
      </c>
      <c r="E217" s="7">
        <f>INDEX(Sheet2!$D$2:$D$65,$B217+1)</f>
        <v>0</v>
      </c>
      <c r="F217" s="7">
        <f>INDEX(Sheet3!$AY$2:$BN$11,$A217,$E217+1)</f>
        <v>1701654643</v>
      </c>
      <c r="G217" s="7">
        <f>IF($B217&lt;16,_xlfn.BITOR(_xlfn.BITAND($K216,$L216),_xlfn.BITAND(4294967295-$K216,$M216)),IF($B217&lt;32,_xlfn.BITOR(_xlfn.BITAND($M216,$K216),_xlfn.BITAND(4294967295-$M216,$L216)),IF($B217&lt;48,_xlfn.BITXOR(_xlfn.BITXOR($K216,$L216),$M216),_xlfn.BITXOR($L216,_xlfn.BITOR($K216,4294967295-$M216)))))</f>
        <v>1592382797</v>
      </c>
      <c r="H217" s="7">
        <f>MOD($G217+$J216+$C217+$F217,4294967296)</f>
        <v>965028760</v>
      </c>
      <c r="I217" s="7">
        <f>MOD($H217,2^(32-$D217))*2^$D217+INT($H217/2^(32-$D217))</f>
        <v>3112409170</v>
      </c>
      <c r="J217" s="7">
        <f>$M216</f>
        <v>2240155591</v>
      </c>
      <c r="K217" s="7">
        <f>MOD($K216+$I217,4294967296)</f>
        <v>375164327</v>
      </c>
      <c r="L217" s="7">
        <f>$K216</f>
        <v>1557722453</v>
      </c>
      <c r="M217" s="7">
        <f>$L216</f>
        <v>1609158984</v>
      </c>
    </row>
    <row r="218" spans="1:13">
      <c r="A218" s="7">
        <v>4</v>
      </c>
      <c r="B218" s="7">
        <v>20</v>
      </c>
      <c r="C218" s="7">
        <f>INDEX(Sheet2!$B$2:$B$65,$B218+1)</f>
        <v>3593408605</v>
      </c>
      <c r="D218" s="7">
        <f>INDEX(Sheet2!$C$2:$C$65,$B218+1)</f>
        <v>5</v>
      </c>
      <c r="E218" s="7">
        <f>INDEX(Sheet2!$D$2:$D$65,$B218+1)</f>
        <v>5</v>
      </c>
      <c r="F218" s="7">
        <f>INDEX(Sheet3!$AY$2:$BN$11,$A218,$E218+1)</f>
        <v>0</v>
      </c>
      <c r="G218" s="7">
        <f>IF($B218&lt;16,_xlfn.BITOR(_xlfn.BITAND($K217,$L217),_xlfn.BITAND(4294967295-$K217,$M217)),IF($B218&lt;32,_xlfn.BITOR(_xlfn.BITAND($M217,$K217),_xlfn.BITAND(4294967295-$M217,$L217)),IF($B218&lt;48,_xlfn.BITXOR(_xlfn.BITXOR($K217,$L217),$M217),_xlfn.BITXOR($L217,_xlfn.BITOR($K217,4294967295-$M217)))))</f>
        <v>374908181</v>
      </c>
      <c r="H218" s="7">
        <f>MOD($G218+$J217+$C218+$F218,4294967296)</f>
        <v>1913505081</v>
      </c>
      <c r="I218" s="7">
        <f>MOD($H218,2^(32-$D218))*2^$D218+INT($H218/2^(32-$D218))</f>
        <v>1102620462</v>
      </c>
      <c r="J218" s="7">
        <f>$M217</f>
        <v>1609158984</v>
      </c>
      <c r="K218" s="7">
        <f>MOD($K217+$I218,4294967296)</f>
        <v>1477784789</v>
      </c>
      <c r="L218" s="7">
        <f>$K217</f>
        <v>375164327</v>
      </c>
      <c r="M218" s="7">
        <f>$L217</f>
        <v>1557722453</v>
      </c>
    </row>
    <row r="219" spans="1:13">
      <c r="A219" s="7">
        <v>4</v>
      </c>
      <c r="B219" s="7">
        <v>21</v>
      </c>
      <c r="C219" s="7">
        <f>INDEX(Sheet2!$B$2:$B$65,$B219+1)</f>
        <v>38016083</v>
      </c>
      <c r="D219" s="7">
        <f>INDEX(Sheet2!$C$2:$C$65,$B219+1)</f>
        <v>9</v>
      </c>
      <c r="E219" s="7">
        <f>INDEX(Sheet2!$D$2:$D$65,$B219+1)</f>
        <v>10</v>
      </c>
      <c r="F219" s="7">
        <f>INDEX(Sheet3!$AY$2:$BN$11,$A219,$E219+1)</f>
        <v>0</v>
      </c>
      <c r="G219" s="7">
        <f>IF($B219&lt;16,_xlfn.BITOR(_xlfn.BITAND($K218,$L218),_xlfn.BITAND(4294967295-$K218,$M218)),IF($B219&lt;32,_xlfn.BITOR(_xlfn.BITAND($M218,$K218),_xlfn.BITAND(4294967295-$M218,$L218)),IF($B219&lt;48,_xlfn.BITXOR(_xlfn.BITXOR($K218,$L218),$M218),_xlfn.BITXOR($L218,_xlfn.BITOR($K218,4294967295-$M218)))))</f>
        <v>1511275767</v>
      </c>
      <c r="H219" s="7">
        <f>MOD($G219+$J218+$C219+$F219,4294967296)</f>
        <v>3158450834</v>
      </c>
      <c r="I219" s="7">
        <f>MOD($H219,2^(32-$D219))*2^$D219+INT($H219/2^(32-$D219))</f>
        <v>2219124088</v>
      </c>
      <c r="J219" s="7">
        <f>$M218</f>
        <v>1557722453</v>
      </c>
      <c r="K219" s="7">
        <f>MOD($K218+$I219,4294967296)</f>
        <v>3696908877</v>
      </c>
      <c r="L219" s="7">
        <f>$K218</f>
        <v>1477784789</v>
      </c>
      <c r="M219" s="7">
        <f>$L218</f>
        <v>375164327</v>
      </c>
    </row>
    <row r="220" spans="1:13">
      <c r="A220" s="7">
        <v>4</v>
      </c>
      <c r="B220" s="7">
        <v>22</v>
      </c>
      <c r="C220" s="7">
        <f>INDEX(Sheet2!$B$2:$B$65,$B220+1)</f>
        <v>3634488961</v>
      </c>
      <c r="D220" s="7">
        <f>INDEX(Sheet2!$C$2:$C$65,$B220+1)</f>
        <v>14</v>
      </c>
      <c r="E220" s="7">
        <f>INDEX(Sheet2!$D$2:$D$65,$B220+1)</f>
        <v>15</v>
      </c>
      <c r="F220" s="7">
        <f>INDEX(Sheet3!$AY$2:$BN$11,$A220,$E220+1)</f>
        <v>0</v>
      </c>
      <c r="G220" s="7">
        <f>IF($B220&lt;16,_xlfn.BITOR(_xlfn.BITAND($K219,$L219),_xlfn.BITAND(4294967295-$K219,$M219)),IF($B220&lt;32,_xlfn.BITOR(_xlfn.BITAND($M219,$K219),_xlfn.BITAND(4294967295-$M219,$L219)),IF($B220&lt;48,_xlfn.BITXOR(_xlfn.BITXOR($K219,$L219),$M219),_xlfn.BITXOR($L219,_xlfn.BITOR($K219,4294967295-$M219)))))</f>
        <v>1549350997</v>
      </c>
      <c r="H220" s="7">
        <f>MOD($G220+$J219+$C220+$F220,4294967296)</f>
        <v>2446595115</v>
      </c>
      <c r="I220" s="7">
        <f>MOD($H220,2^(32-$D220))*2^$D220+INT($H220/2^(32-$D220))</f>
        <v>84599925</v>
      </c>
      <c r="J220" s="7">
        <f>$M219</f>
        <v>375164327</v>
      </c>
      <c r="K220" s="7">
        <f>MOD($K219+$I220,4294967296)</f>
        <v>3781508802</v>
      </c>
      <c r="L220" s="7">
        <f>$K219</f>
        <v>3696908877</v>
      </c>
      <c r="M220" s="7">
        <f>$L219</f>
        <v>1477784789</v>
      </c>
    </row>
    <row r="221" spans="1:13">
      <c r="A221" s="7">
        <v>4</v>
      </c>
      <c r="B221" s="7">
        <v>23</v>
      </c>
      <c r="C221" s="7">
        <f>INDEX(Sheet2!$B$2:$B$65,$B221+1)</f>
        <v>3889429448</v>
      </c>
      <c r="D221" s="7">
        <f>INDEX(Sheet2!$C$2:$C$65,$B221+1)</f>
        <v>20</v>
      </c>
      <c r="E221" s="7">
        <f>INDEX(Sheet2!$D$2:$D$65,$B221+1)</f>
        <v>4</v>
      </c>
      <c r="F221" s="7">
        <f>INDEX(Sheet3!$AY$2:$BN$11,$A221,$E221+1)</f>
        <v>2151628607</v>
      </c>
      <c r="G221" s="7">
        <f>IF($B221&lt;16,_xlfn.BITOR(_xlfn.BITAND($K220,$L220),_xlfn.BITAND(4294967295-$K220,$M220)),IF($B221&lt;32,_xlfn.BITOR(_xlfn.BITAND($M220,$K220),_xlfn.BITAND(4294967295-$M220,$L220)),IF($B221&lt;48,_xlfn.BITXOR(_xlfn.BITXOR($K220,$L220),$M220),_xlfn.BITXOR($L220,_xlfn.BITOR($K220,4294967295-$M220)))))</f>
        <v>3293544136</v>
      </c>
      <c r="H221" s="7">
        <f>MOD($G221+$J220+$C221+$F221,4294967296)</f>
        <v>1119831926</v>
      </c>
      <c r="I221" s="7">
        <f>MOD($H221,2^(32-$D221))*2^$D221+INT($H221/2^(32-$D221))</f>
        <v>2003053556</v>
      </c>
      <c r="J221" s="7">
        <f>$M220</f>
        <v>1477784789</v>
      </c>
      <c r="K221" s="7">
        <f>MOD($K220+$I221,4294967296)</f>
        <v>1489595062</v>
      </c>
      <c r="L221" s="7">
        <f>$K220</f>
        <v>3781508802</v>
      </c>
      <c r="M221" s="7">
        <f>$L220</f>
        <v>3696908877</v>
      </c>
    </row>
    <row r="222" spans="1:13">
      <c r="A222" s="7">
        <v>4</v>
      </c>
      <c r="B222" s="7">
        <v>24</v>
      </c>
      <c r="C222" s="7">
        <f>INDEX(Sheet2!$B$2:$B$65,$B222+1)</f>
        <v>568446438</v>
      </c>
      <c r="D222" s="7">
        <f>INDEX(Sheet2!$C$2:$C$65,$B222+1)</f>
        <v>5</v>
      </c>
      <c r="E222" s="7">
        <f>INDEX(Sheet2!$D$2:$D$65,$B222+1)</f>
        <v>9</v>
      </c>
      <c r="F222" s="7">
        <f>INDEX(Sheet3!$AY$2:$BN$11,$A222,$E222+1)</f>
        <v>0</v>
      </c>
      <c r="G222" s="7">
        <f>IF($B222&lt;16,_xlfn.BITOR(_xlfn.BITAND($K221,$L221),_xlfn.BITAND(4294967295-$K221,$M221)),IF($B222&lt;32,_xlfn.BITOR(_xlfn.BITAND($M221,$K221),_xlfn.BITAND(4294967295-$M221,$L221)),IF($B222&lt;48,_xlfn.BITXOR(_xlfn.BITXOR($K221,$L221),$M221),_xlfn.BITXOR($L221,_xlfn.BITOR($K221,4294967295-$M221)))))</f>
        <v>2037214854</v>
      </c>
      <c r="H222" s="7">
        <f>MOD($G222+$J221+$C222+$F222,4294967296)</f>
        <v>4083446081</v>
      </c>
      <c r="I222" s="7">
        <f>MOD($H222,2^(32-$D222))*2^$D222+INT($H222/2^(32-$D222))</f>
        <v>1821255742</v>
      </c>
      <c r="J222" s="7">
        <f>$M221</f>
        <v>3696908877</v>
      </c>
      <c r="K222" s="7">
        <f>MOD($K221+$I222,4294967296)</f>
        <v>3310850804</v>
      </c>
      <c r="L222" s="7">
        <f>$K221</f>
        <v>1489595062</v>
      </c>
      <c r="M222" s="7">
        <f>$L221</f>
        <v>3781508802</v>
      </c>
    </row>
    <row r="223" spans="1:13">
      <c r="A223" s="7">
        <v>4</v>
      </c>
      <c r="B223" s="7">
        <v>25</v>
      </c>
      <c r="C223" s="7">
        <f>INDEX(Sheet2!$B$2:$B$65,$B223+1)</f>
        <v>3275163606</v>
      </c>
      <c r="D223" s="7">
        <f>INDEX(Sheet2!$C$2:$C$65,$B223+1)</f>
        <v>9</v>
      </c>
      <c r="E223" s="7">
        <f>INDEX(Sheet2!$D$2:$D$65,$B223+1)</f>
        <v>14</v>
      </c>
      <c r="F223" s="7">
        <f>INDEX(Sheet3!$AY$2:$BN$11,$A223,$E223+1)</f>
        <v>152</v>
      </c>
      <c r="G223" s="7">
        <f>IF($B223&lt;16,_xlfn.BITOR(_xlfn.BITAND($K222,$L222),_xlfn.BITAND(4294967295-$K222,$M222)),IF($B223&lt;32,_xlfn.BITOR(_xlfn.BITAND($M222,$K222),_xlfn.BITAND(4294967295-$M222,$L222)),IF($B223&lt;48,_xlfn.BITXOR(_xlfn.BITXOR($K222,$L222),$M222),_xlfn.BITXOR($L222,_xlfn.BITOR($K222,4294967295-$M222)))))</f>
        <v>3654111988</v>
      </c>
      <c r="H223" s="7">
        <f>MOD($G223+$J222+$C223+$F223,4294967296)</f>
        <v>2036250031</v>
      </c>
      <c r="I223" s="7">
        <f>MOD($H223,2^(32-$D223))*2^$D223+INT($H223/2^(32-$D223))</f>
        <v>3177930482</v>
      </c>
      <c r="J223" s="7">
        <f>$M222</f>
        <v>3781508802</v>
      </c>
      <c r="K223" s="7">
        <f>MOD($K222+$I223,4294967296)</f>
        <v>2193813990</v>
      </c>
      <c r="L223" s="7">
        <f>$K222</f>
        <v>3310850804</v>
      </c>
      <c r="M223" s="7">
        <f>$L222</f>
        <v>1489595062</v>
      </c>
    </row>
    <row r="224" spans="1:13">
      <c r="A224" s="7">
        <v>4</v>
      </c>
      <c r="B224" s="7">
        <v>26</v>
      </c>
      <c r="C224" s="7">
        <f>INDEX(Sheet2!$B$2:$B$65,$B224+1)</f>
        <v>4107603335</v>
      </c>
      <c r="D224" s="7">
        <f>INDEX(Sheet2!$C$2:$C$65,$B224+1)</f>
        <v>14</v>
      </c>
      <c r="E224" s="7">
        <f>INDEX(Sheet2!$D$2:$D$65,$B224+1)</f>
        <v>3</v>
      </c>
      <c r="F224" s="7">
        <f>INDEX(Sheet3!$AY$2:$BN$11,$A224,$E224+1)</f>
        <v>1953248371</v>
      </c>
      <c r="G224" s="7">
        <f>IF($B224&lt;16,_xlfn.BITOR(_xlfn.BITAND($K223,$L223),_xlfn.BITAND(4294967295-$K223,$M223)),IF($B224&lt;32,_xlfn.BITOR(_xlfn.BITAND($M223,$K223),_xlfn.BITAND(4294967295-$M223,$L223)),IF($B224&lt;48,_xlfn.BITXOR(_xlfn.BITXOR($K223,$L223),$M223),_xlfn.BITXOR($L223,_xlfn.BITOR($K223,4294967295-$M223)))))</f>
        <v>2245456102</v>
      </c>
      <c r="H224" s="7">
        <f>MOD($G224+$J223+$C224+$F224,4294967296)</f>
        <v>3497882018</v>
      </c>
      <c r="I224" s="7">
        <f>MOD($H224,2^(32-$D224))*2^$D224+INT($H224/2^(32-$D224))</f>
        <v>1550365727</v>
      </c>
      <c r="J224" s="7">
        <f>$M223</f>
        <v>1489595062</v>
      </c>
      <c r="K224" s="7">
        <f>MOD($K223+$I224,4294967296)</f>
        <v>3744179717</v>
      </c>
      <c r="L224" s="7">
        <f>$K223</f>
        <v>2193813990</v>
      </c>
      <c r="M224" s="7">
        <f>$L223</f>
        <v>3310850804</v>
      </c>
    </row>
    <row r="225" spans="1:13">
      <c r="A225" s="7">
        <v>4</v>
      </c>
      <c r="B225" s="7">
        <v>27</v>
      </c>
      <c r="C225" s="7">
        <f>INDEX(Sheet2!$B$2:$B$65,$B225+1)</f>
        <v>1163531501</v>
      </c>
      <c r="D225" s="7">
        <f>INDEX(Sheet2!$C$2:$C$65,$B225+1)</f>
        <v>20</v>
      </c>
      <c r="E225" s="7">
        <f>INDEX(Sheet2!$D$2:$D$65,$B225+1)</f>
        <v>8</v>
      </c>
      <c r="F225" s="7">
        <f>INDEX(Sheet3!$AY$2:$BN$11,$A225,$E225+1)</f>
        <v>0</v>
      </c>
      <c r="G225" s="7">
        <f>IF($B225&lt;16,_xlfn.BITOR(_xlfn.BITAND($K224,$L224),_xlfn.BITAND(4294967295-$K224,$M224)),IF($B225&lt;32,_xlfn.BITOR(_xlfn.BITAND($M224,$K224),_xlfn.BITAND(4294967295-$M224,$L224)),IF($B225&lt;48,_xlfn.BITXOR(_xlfn.BITXOR($K224,$L224),$M224),_xlfn.BITXOR($L224,_xlfn.BITOR($K224,4294967295-$M224)))))</f>
        <v>3347309318</v>
      </c>
      <c r="H225" s="7">
        <f>MOD($G225+$J224+$C225+$F225,4294967296)</f>
        <v>1705468585</v>
      </c>
      <c r="I225" s="7">
        <f>MOD($H225,2^(32-$D225))*2^$D225+INT($H225/2^(32-$D225))</f>
        <v>714496630</v>
      </c>
      <c r="J225" s="7">
        <f>$M224</f>
        <v>3310850804</v>
      </c>
      <c r="K225" s="7">
        <f>MOD($K224+$I225,4294967296)</f>
        <v>163709051</v>
      </c>
      <c r="L225" s="7">
        <f>$K224</f>
        <v>3744179717</v>
      </c>
      <c r="M225" s="7">
        <f>$L224</f>
        <v>2193813990</v>
      </c>
    </row>
    <row r="226" spans="1:13">
      <c r="A226" s="7">
        <v>4</v>
      </c>
      <c r="B226" s="7">
        <v>28</v>
      </c>
      <c r="C226" s="7">
        <f>INDEX(Sheet2!$B$2:$B$65,$B226+1)</f>
        <v>2850285829</v>
      </c>
      <c r="D226" s="7">
        <f>INDEX(Sheet2!$C$2:$C$65,$B226+1)</f>
        <v>5</v>
      </c>
      <c r="E226" s="7">
        <f>INDEX(Sheet2!$D$2:$D$65,$B226+1)</f>
        <v>13</v>
      </c>
      <c r="F226" s="7">
        <f>INDEX(Sheet3!$AY$2:$BN$11,$A226,$E226+1)</f>
        <v>0</v>
      </c>
      <c r="G226" s="7">
        <f>IF($B226&lt;16,_xlfn.BITOR(_xlfn.BITAND($K225,$L225),_xlfn.BITAND(4294967295-$K225,$M225)),IF($B226&lt;32,_xlfn.BITOR(_xlfn.BITAND($M225,$K225),_xlfn.BITAND(4294967295-$M225,$L225)),IF($B226&lt;48,_xlfn.BITXOR(_xlfn.BITXOR($K225,$L225),$M225),_xlfn.BITXOR($L225,_xlfn.BITOR($K225,4294967295-$M225)))))</f>
        <v>1575683683</v>
      </c>
      <c r="H226" s="7">
        <f>MOD($G226+$J225+$C226+$F226,4294967296)</f>
        <v>3441853020</v>
      </c>
      <c r="I226" s="7">
        <f>MOD($H226,2^(32-$D226))*2^$D226+INT($H226/2^(32-$D226))</f>
        <v>2765114265</v>
      </c>
      <c r="J226" s="7">
        <f>$M225</f>
        <v>2193813990</v>
      </c>
      <c r="K226" s="7">
        <f>MOD($K225+$I226,4294967296)</f>
        <v>2928823316</v>
      </c>
      <c r="L226" s="7">
        <f>$K225</f>
        <v>163709051</v>
      </c>
      <c r="M226" s="7">
        <f>$L225</f>
        <v>3744179717</v>
      </c>
    </row>
    <row r="227" spans="1:13">
      <c r="A227" s="7">
        <v>4</v>
      </c>
      <c r="B227" s="7">
        <v>29</v>
      </c>
      <c r="C227" s="7">
        <f>INDEX(Sheet2!$B$2:$B$65,$B227+1)</f>
        <v>4243563512</v>
      </c>
      <c r="D227" s="7">
        <f>INDEX(Sheet2!$C$2:$C$65,$B227+1)</f>
        <v>9</v>
      </c>
      <c r="E227" s="7">
        <f>INDEX(Sheet2!$D$2:$D$65,$B227+1)</f>
        <v>2</v>
      </c>
      <c r="F227" s="7">
        <f>INDEX(Sheet3!$AY$2:$BN$11,$A227,$E227+1)</f>
        <v>1601792820</v>
      </c>
      <c r="G227" s="7">
        <f>IF($B227&lt;16,_xlfn.BITOR(_xlfn.BITAND($K226,$L226),_xlfn.BITAND(4294967295-$K226,$M226)),IF($B227&lt;32,_xlfn.BITOR(_xlfn.BITAND($M226,$K226),_xlfn.BITAND(4294967295-$M226,$L226)),IF($B227&lt;48,_xlfn.BITXOR(_xlfn.BITXOR($K226,$L226),$M226),_xlfn.BITXOR($L226,_xlfn.BITOR($K226,4294967295-$M226)))))</f>
        <v>2395079806</v>
      </c>
      <c r="H227" s="7">
        <f>MOD($G227+$J226+$C227+$F227,4294967296)</f>
        <v>1844315536</v>
      </c>
      <c r="I227" s="7">
        <f>MOD($H227,2^(32-$D227))*2^$D227+INT($H227/2^(32-$D227))</f>
        <v>3691716827</v>
      </c>
      <c r="J227" s="7">
        <f>$M226</f>
        <v>3744179717</v>
      </c>
      <c r="K227" s="7">
        <f>MOD($K226+$I227,4294967296)</f>
        <v>2325572847</v>
      </c>
      <c r="L227" s="7">
        <f>$K226</f>
        <v>2928823316</v>
      </c>
      <c r="M227" s="7">
        <f>$L226</f>
        <v>163709051</v>
      </c>
    </row>
    <row r="228" spans="1:13">
      <c r="A228" s="7">
        <v>4</v>
      </c>
      <c r="B228" s="7">
        <v>30</v>
      </c>
      <c r="C228" s="7">
        <f>INDEX(Sheet2!$B$2:$B$65,$B228+1)</f>
        <v>1735328473</v>
      </c>
      <c r="D228" s="7">
        <f>INDEX(Sheet2!$C$2:$C$65,$B228+1)</f>
        <v>14</v>
      </c>
      <c r="E228" s="7">
        <f>INDEX(Sheet2!$D$2:$D$65,$B228+1)</f>
        <v>7</v>
      </c>
      <c r="F228" s="7">
        <f>INDEX(Sheet3!$AY$2:$BN$11,$A228,$E228+1)</f>
        <v>0</v>
      </c>
      <c r="G228" s="7">
        <f>IF($B228&lt;16,_xlfn.BITOR(_xlfn.BITAND($K227,$L227),_xlfn.BITAND(4294967295-$K227,$M227)),IF($B228&lt;32,_xlfn.BITOR(_xlfn.BITAND($M227,$K227),_xlfn.BITAND(4294967295-$M227,$L227)),IF($B228&lt;48,_xlfn.BITXOR(_xlfn.BITXOR($K227,$L227),$M227),_xlfn.BITXOR($L227,_xlfn.BITOR($K227,4294967295-$M227)))))</f>
        <v>2928692335</v>
      </c>
      <c r="H228" s="7">
        <f>MOD($G228+$J227+$C228+$F228,4294967296)</f>
        <v>4113233229</v>
      </c>
      <c r="I228" s="7">
        <f>MOD($H228,2^(32-$D228))*2^$D228+INT($H228/2^(32-$D228))</f>
        <v>3176365386</v>
      </c>
      <c r="J228" s="7">
        <f>$M227</f>
        <v>163709051</v>
      </c>
      <c r="K228" s="7">
        <f>MOD($K227+$I228,4294967296)</f>
        <v>1206970937</v>
      </c>
      <c r="L228" s="7">
        <f>$K227</f>
        <v>2325572847</v>
      </c>
      <c r="M228" s="7">
        <f>$L227</f>
        <v>2928823316</v>
      </c>
    </row>
    <row r="229" spans="1:13">
      <c r="A229" s="7">
        <v>4</v>
      </c>
      <c r="B229" s="7">
        <v>31</v>
      </c>
      <c r="C229" s="7">
        <f>INDEX(Sheet2!$B$2:$B$65,$B229+1)</f>
        <v>2368359562</v>
      </c>
      <c r="D229" s="7">
        <f>INDEX(Sheet2!$C$2:$C$65,$B229+1)</f>
        <v>20</v>
      </c>
      <c r="E229" s="7">
        <f>INDEX(Sheet2!$D$2:$D$65,$B229+1)</f>
        <v>12</v>
      </c>
      <c r="F229" s="7">
        <f>INDEX(Sheet3!$AY$2:$BN$11,$A229,$E229+1)</f>
        <v>0</v>
      </c>
      <c r="G229" s="7">
        <f>IF($B229&lt;16,_xlfn.BITOR(_xlfn.BITAND($K228,$L228),_xlfn.BITAND(4294967295-$K228,$M228)),IF($B229&lt;32,_xlfn.BITOR(_xlfn.BITAND($M228,$K228),_xlfn.BITAND(4294967295-$M228,$L228)),IF($B229&lt;48,_xlfn.BITXOR(_xlfn.BITXOR($K228,$L228),$M228),_xlfn.BITXOR($L228,_xlfn.BITOR($K228,4294967295-$M228)))))</f>
        <v>110979323</v>
      </c>
      <c r="H229" s="7">
        <f>MOD($G229+$J228+$C229+$F229,4294967296)</f>
        <v>2643047936</v>
      </c>
      <c r="I229" s="7">
        <f>MOD($H229,2^(32-$D229))*2^$D229+INT($H229/2^(32-$D229))</f>
        <v>1611258011</v>
      </c>
      <c r="J229" s="7">
        <f>$M228</f>
        <v>2928823316</v>
      </c>
      <c r="K229" s="7">
        <f>MOD($K228+$I229,4294967296)</f>
        <v>2818228948</v>
      </c>
      <c r="L229" s="7">
        <f>$K228</f>
        <v>1206970937</v>
      </c>
      <c r="M229" s="7">
        <f>$L228</f>
        <v>2325572847</v>
      </c>
    </row>
    <row r="230" spans="1:13">
      <c r="A230" s="7">
        <v>4</v>
      </c>
      <c r="B230" s="7">
        <v>32</v>
      </c>
      <c r="C230" s="7">
        <f>INDEX(Sheet2!$B$2:$B$65,$B230+1)</f>
        <v>4294588738</v>
      </c>
      <c r="D230" s="7">
        <f>INDEX(Sheet2!$C$2:$C$65,$B230+1)</f>
        <v>4</v>
      </c>
      <c r="E230" s="7">
        <f>INDEX(Sheet2!$D$2:$D$65,$B230+1)</f>
        <v>5</v>
      </c>
      <c r="F230" s="7">
        <f>INDEX(Sheet3!$AY$2:$BN$11,$A230,$E230+1)</f>
        <v>0</v>
      </c>
      <c r="G230" s="7">
        <f>IF($B230&lt;16,_xlfn.BITOR(_xlfn.BITAND($K229,$L229),_xlfn.BITAND(4294967295-$K229,$M229)),IF($B230&lt;32,_xlfn.BITOR(_xlfn.BITAND($M229,$K229),_xlfn.BITAND(4294967295-$M229,$L229)),IF($B230&lt;48,_xlfn.BITXOR(_xlfn.BITXOR($K229,$L229),$M229),_xlfn.BITXOR($L229,_xlfn.BITOR($K229,4294967295-$M229)))))</f>
        <v>1788298242</v>
      </c>
      <c r="H230" s="7">
        <f>MOD($G230+$J229+$C230+$F230,4294967296)</f>
        <v>421775704</v>
      </c>
      <c r="I230" s="7">
        <f>MOD($H230,2^(32-$D230))*2^$D230+INT($H230/2^(32-$D230))</f>
        <v>2453443969</v>
      </c>
      <c r="J230" s="7">
        <f>$M229</f>
        <v>2325572847</v>
      </c>
      <c r="K230" s="7">
        <f>MOD($K229+$I230,4294967296)</f>
        <v>976705621</v>
      </c>
      <c r="L230" s="7">
        <f>$K229</f>
        <v>2818228948</v>
      </c>
      <c r="M230" s="7">
        <f>$L229</f>
        <v>1206970937</v>
      </c>
    </row>
    <row r="231" spans="1:13">
      <c r="A231" s="7">
        <v>4</v>
      </c>
      <c r="B231" s="7">
        <v>33</v>
      </c>
      <c r="C231" s="7">
        <f>INDEX(Sheet2!$B$2:$B$65,$B231+1)</f>
        <v>2272392833</v>
      </c>
      <c r="D231" s="7">
        <f>INDEX(Sheet2!$C$2:$C$65,$B231+1)</f>
        <v>11</v>
      </c>
      <c r="E231" s="7">
        <f>INDEX(Sheet2!$D$2:$D$65,$B231+1)</f>
        <v>8</v>
      </c>
      <c r="F231" s="7">
        <f>INDEX(Sheet3!$AY$2:$BN$11,$A231,$E231+1)</f>
        <v>0</v>
      </c>
      <c r="G231" s="7">
        <f>IF($B231&lt;16,_xlfn.BITOR(_xlfn.BITAND($K230,$L230),_xlfn.BITAND(4294967295-$K230,$M230)),IF($B231&lt;32,_xlfn.BITOR(_xlfn.BITAND($M230,$K230),_xlfn.BITAND(4294967295-$M230,$L230)),IF($B231&lt;48,_xlfn.BITXOR(_xlfn.BITXOR($K230,$L230),$M230),_xlfn.BITXOR($L230,_xlfn.BITOR($K230,4294967295-$M230)))))</f>
        <v>3661459640</v>
      </c>
      <c r="H231" s="7">
        <f>MOD($G231+$J230+$C231+$F231,4294967296)</f>
        <v>3964458024</v>
      </c>
      <c r="I231" s="7">
        <f>MOD($H231,2^(32-$D231))*2^$D231+INT($H231/2^(32-$D231))</f>
        <v>1721845602</v>
      </c>
      <c r="J231" s="7">
        <f>$M230</f>
        <v>1206970937</v>
      </c>
      <c r="K231" s="7">
        <f>MOD($K230+$I231,4294967296)</f>
        <v>2698551223</v>
      </c>
      <c r="L231" s="7">
        <f>$K230</f>
        <v>976705621</v>
      </c>
      <c r="M231" s="7">
        <f>$L230</f>
        <v>2818228948</v>
      </c>
    </row>
    <row r="232" spans="1:13">
      <c r="A232" s="7">
        <v>4</v>
      </c>
      <c r="B232" s="7">
        <v>34</v>
      </c>
      <c r="C232" s="7">
        <f>INDEX(Sheet2!$B$2:$B$65,$B232+1)</f>
        <v>1839030562</v>
      </c>
      <c r="D232" s="7">
        <f>INDEX(Sheet2!$C$2:$C$65,$B232+1)</f>
        <v>16</v>
      </c>
      <c r="E232" s="7">
        <f>INDEX(Sheet2!$D$2:$D$65,$B232+1)</f>
        <v>11</v>
      </c>
      <c r="F232" s="7">
        <f>INDEX(Sheet3!$AY$2:$BN$11,$A232,$E232+1)</f>
        <v>0</v>
      </c>
      <c r="G232" s="7">
        <f>IF($B232&lt;16,_xlfn.BITOR(_xlfn.BITAND($K231,$L231),_xlfn.BITAND(4294967295-$K231,$M231)),IF($B232&lt;32,_xlfn.BITOR(_xlfn.BITAND($M231,$K231),_xlfn.BITAND(4294967295-$M231,$L231)),IF($B232&lt;48,_xlfn.BITXOR(_xlfn.BITXOR($K231,$L231),$M231),_xlfn.BITXOR($L231,_xlfn.BITOR($K231,4294967295-$M231)))))</f>
        <v>1024787766</v>
      </c>
      <c r="H232" s="7">
        <f>MOD($G232+$J231+$C232+$F232,4294967296)</f>
        <v>4070789265</v>
      </c>
      <c r="I232" s="7">
        <f>MOD($H232,2^(32-$D232))*2^$D232+INT($H232/2^(32-$D232))</f>
        <v>1351742115</v>
      </c>
      <c r="J232" s="7">
        <f>$M231</f>
        <v>2818228948</v>
      </c>
      <c r="K232" s="7">
        <f>MOD($K231+$I232,4294967296)</f>
        <v>4050293338</v>
      </c>
      <c r="L232" s="7">
        <f>$K231</f>
        <v>2698551223</v>
      </c>
      <c r="M232" s="7">
        <f>$L231</f>
        <v>976705621</v>
      </c>
    </row>
    <row r="233" spans="1:13">
      <c r="A233" s="7">
        <v>4</v>
      </c>
      <c r="B233" s="7">
        <v>35</v>
      </c>
      <c r="C233" s="7">
        <f>INDEX(Sheet2!$B$2:$B$65,$B233+1)</f>
        <v>4259657740</v>
      </c>
      <c r="D233" s="7">
        <f>INDEX(Sheet2!$C$2:$C$65,$B233+1)</f>
        <v>23</v>
      </c>
      <c r="E233" s="7">
        <f>INDEX(Sheet2!$D$2:$D$65,$B233+1)</f>
        <v>14</v>
      </c>
      <c r="F233" s="7">
        <f>INDEX(Sheet3!$AY$2:$BN$11,$A233,$E233+1)</f>
        <v>152</v>
      </c>
      <c r="G233" s="7">
        <f>IF($B233&lt;16,_xlfn.BITOR(_xlfn.BITAND($K232,$L232),_xlfn.BITAND(4294967295-$K232,$M232)),IF($B233&lt;32,_xlfn.BITOR(_xlfn.BITAND($M232,$K232),_xlfn.BITAND(4294967295-$M232,$L232)),IF($B233&lt;48,_xlfn.BITXOR(_xlfn.BITXOR($K232,$L232),$M232),_xlfn.BITXOR($L232,_xlfn.BITOR($K232,4294967295-$M232)))))</f>
        <v>1803900344</v>
      </c>
      <c r="H233" s="7">
        <f>MOD($G233+$J232+$C233+$F233,4294967296)</f>
        <v>291852592</v>
      </c>
      <c r="I233" s="7">
        <f>MOD($H233,2^(32-$D233))*2^$D233+INT($H233/2^(32-$D233))</f>
        <v>2550706856</v>
      </c>
      <c r="J233" s="7">
        <f>$M232</f>
        <v>976705621</v>
      </c>
      <c r="K233" s="7">
        <f>MOD($K232+$I233,4294967296)</f>
        <v>2306032898</v>
      </c>
      <c r="L233" s="7">
        <f>$K232</f>
        <v>4050293338</v>
      </c>
      <c r="M233" s="7">
        <f>$L232</f>
        <v>2698551223</v>
      </c>
    </row>
    <row r="234" spans="1:13">
      <c r="A234" s="7">
        <v>4</v>
      </c>
      <c r="B234" s="7">
        <v>36</v>
      </c>
      <c r="C234" s="7">
        <f>INDEX(Sheet2!$B$2:$B$65,$B234+1)</f>
        <v>2763975236</v>
      </c>
      <c r="D234" s="7">
        <f>INDEX(Sheet2!$C$2:$C$65,$B234+1)</f>
        <v>4</v>
      </c>
      <c r="E234" s="7">
        <f>INDEX(Sheet2!$D$2:$D$65,$B234+1)</f>
        <v>1</v>
      </c>
      <c r="F234" s="7">
        <f>INDEX(Sheet3!$AY$2:$BN$11,$A234,$E234+1)</f>
        <v>862876511</v>
      </c>
      <c r="G234" s="7">
        <f>IF($B234&lt;16,_xlfn.BITOR(_xlfn.BITAND($K233,$L233),_xlfn.BITAND(4294967295-$K233,$M233)),IF($B234&lt;32,_xlfn.BITOR(_xlfn.BITAND($M233,$K233),_xlfn.BITAND(4294967295-$M233,$L233)),IF($B234&lt;48,_xlfn.BITXOR(_xlfn.BITXOR($K233,$L233),$M233),_xlfn.BITXOR($L233,_xlfn.BITOR($K233,4294967295-$M233)))))</f>
        <v>3636545775</v>
      </c>
      <c r="H234" s="7">
        <f>MOD($G234+$J233+$C234+$F234,4294967296)</f>
        <v>3945135847</v>
      </c>
      <c r="I234" s="7">
        <f>MOD($H234,2^(32-$D234))*2^$D234+INT($H234/2^(32-$D234))</f>
        <v>2992631422</v>
      </c>
      <c r="J234" s="7">
        <f>$M233</f>
        <v>2698551223</v>
      </c>
      <c r="K234" s="7">
        <f>MOD($K233+$I234,4294967296)</f>
        <v>1003697024</v>
      </c>
      <c r="L234" s="7">
        <f>$K233</f>
        <v>2306032898</v>
      </c>
      <c r="M234" s="7">
        <f>$L233</f>
        <v>4050293338</v>
      </c>
    </row>
    <row r="235" spans="1:13">
      <c r="A235" s="7">
        <v>4</v>
      </c>
      <c r="B235" s="7">
        <v>37</v>
      </c>
      <c r="C235" s="7">
        <f>INDEX(Sheet2!$B$2:$B$65,$B235+1)</f>
        <v>1272893353</v>
      </c>
      <c r="D235" s="7">
        <f>INDEX(Sheet2!$C$2:$C$65,$B235+1)</f>
        <v>11</v>
      </c>
      <c r="E235" s="7">
        <f>INDEX(Sheet2!$D$2:$D$65,$B235+1)</f>
        <v>4</v>
      </c>
      <c r="F235" s="7">
        <f>INDEX(Sheet3!$AY$2:$BN$11,$A235,$E235+1)</f>
        <v>2151628607</v>
      </c>
      <c r="G235" s="7">
        <f>IF($B235&lt;16,_xlfn.BITOR(_xlfn.BITAND($K234,$L234),_xlfn.BITAND(4294967295-$K234,$M234)),IF($B235&lt;32,_xlfn.BITOR(_xlfn.BITAND($M234,$K234),_xlfn.BITAND(4294967295-$M234,$L234)),IF($B235&lt;48,_xlfn.BITXOR(_xlfn.BITXOR($K234,$L234),$M234),_xlfn.BITXOR($L234,_xlfn.BITOR($K234,4294967295-$M234)))))</f>
        <v>1137370328</v>
      </c>
      <c r="H235" s="7">
        <f>MOD($G235+$J234+$C235+$F235,4294967296)</f>
        <v>2965476215</v>
      </c>
      <c r="I235" s="7">
        <f>MOD($H235,2^(32-$D235))*2^$D235+INT($H235/2^(32-$D235))</f>
        <v>211533190</v>
      </c>
      <c r="J235" s="7">
        <f>$M234</f>
        <v>4050293338</v>
      </c>
      <c r="K235" s="7">
        <f>MOD($K234+$I235,4294967296)</f>
        <v>1215230214</v>
      </c>
      <c r="L235" s="7">
        <f>$K234</f>
        <v>1003697024</v>
      </c>
      <c r="M235" s="7">
        <f>$L234</f>
        <v>2306032898</v>
      </c>
    </row>
    <row r="236" spans="1:13">
      <c r="A236" s="7">
        <v>4</v>
      </c>
      <c r="B236" s="7">
        <v>38</v>
      </c>
      <c r="C236" s="7">
        <f>INDEX(Sheet2!$B$2:$B$65,$B236+1)</f>
        <v>4139469664</v>
      </c>
      <c r="D236" s="7">
        <f>INDEX(Sheet2!$C$2:$C$65,$B236+1)</f>
        <v>16</v>
      </c>
      <c r="E236" s="7">
        <f>INDEX(Sheet2!$D$2:$D$65,$B236+1)</f>
        <v>7</v>
      </c>
      <c r="F236" s="7">
        <f>INDEX(Sheet3!$AY$2:$BN$11,$A236,$E236+1)</f>
        <v>0</v>
      </c>
      <c r="G236" s="7">
        <f>IF($B236&lt;16,_xlfn.BITOR(_xlfn.BITAND($K235,$L235),_xlfn.BITAND(4294967295-$K235,$M235)),IF($B236&lt;32,_xlfn.BITOR(_xlfn.BITAND($M235,$K235),_xlfn.BITAND(4294967295-$M235,$L235)),IF($B236&lt;48,_xlfn.BITXOR(_xlfn.BITXOR($K235,$L235),$M235),_xlfn.BITXOR($L235,_xlfn.BITOR($K235,4294967295-$M235)))))</f>
        <v>4207839108</v>
      </c>
      <c r="H236" s="7">
        <f>MOD($G236+$J235+$C236+$F236,4294967296)</f>
        <v>3807667518</v>
      </c>
      <c r="I236" s="7">
        <f>MOD($H236,2^(32-$D236))*2^$D236+INT($H236/2^(32-$D236))</f>
        <v>1698620148</v>
      </c>
      <c r="J236" s="7">
        <f>$M235</f>
        <v>2306032898</v>
      </c>
      <c r="K236" s="7">
        <f>MOD($K235+$I236,4294967296)</f>
        <v>2913850362</v>
      </c>
      <c r="L236" s="7">
        <f>$K235</f>
        <v>1215230214</v>
      </c>
      <c r="M236" s="7">
        <f>$L235</f>
        <v>1003697024</v>
      </c>
    </row>
    <row r="237" spans="1:13">
      <c r="A237" s="7">
        <v>4</v>
      </c>
      <c r="B237" s="7">
        <v>39</v>
      </c>
      <c r="C237" s="7">
        <f>INDEX(Sheet2!$B$2:$B$65,$B237+1)</f>
        <v>3200236656</v>
      </c>
      <c r="D237" s="7">
        <f>INDEX(Sheet2!$C$2:$C$65,$B237+1)</f>
        <v>23</v>
      </c>
      <c r="E237" s="7">
        <f>INDEX(Sheet2!$D$2:$D$65,$B237+1)</f>
        <v>10</v>
      </c>
      <c r="F237" s="7">
        <f>INDEX(Sheet3!$AY$2:$BN$11,$A237,$E237+1)</f>
        <v>0</v>
      </c>
      <c r="G237" s="7">
        <f>IF($B237&lt;16,_xlfn.BITOR(_xlfn.BITAND($K236,$L236),_xlfn.BITAND(4294967295-$K236,$M236)),IF($B237&lt;32,_xlfn.BITOR(_xlfn.BITAND($M236,$K236),_xlfn.BITAND(4294967295-$M236,$L236)),IF($B237&lt;48,_xlfn.BITXOR(_xlfn.BITXOR($K236,$L236),$M236),_xlfn.BITXOR($L236,_xlfn.BITOR($K236,4294967295-$M236)))))</f>
        <v>3725595004</v>
      </c>
      <c r="H237" s="7">
        <f>MOD($G237+$J236+$C237+$F237,4294967296)</f>
        <v>641929966</v>
      </c>
      <c r="I237" s="7">
        <f>MOD($H237,2^(32-$D237))*2^$D237+INT($H237/2^(32-$D237))</f>
        <v>1997742473</v>
      </c>
      <c r="J237" s="7">
        <f>$M236</f>
        <v>1003697024</v>
      </c>
      <c r="K237" s="7">
        <f>MOD($K236+$I237,4294967296)</f>
        <v>616625539</v>
      </c>
      <c r="L237" s="7">
        <f>$K236</f>
        <v>2913850362</v>
      </c>
      <c r="M237" s="7">
        <f>$L236</f>
        <v>1215230214</v>
      </c>
    </row>
    <row r="238" spans="1:13">
      <c r="A238" s="7">
        <v>4</v>
      </c>
      <c r="B238" s="7">
        <v>40</v>
      </c>
      <c r="C238" s="7">
        <f>INDEX(Sheet2!$B$2:$B$65,$B238+1)</f>
        <v>681279174</v>
      </c>
      <c r="D238" s="7">
        <f>INDEX(Sheet2!$C$2:$C$65,$B238+1)</f>
        <v>4</v>
      </c>
      <c r="E238" s="7">
        <f>INDEX(Sheet2!$D$2:$D$65,$B238+1)</f>
        <v>13</v>
      </c>
      <c r="F238" s="7">
        <f>INDEX(Sheet3!$AY$2:$BN$11,$A238,$E238+1)</f>
        <v>0</v>
      </c>
      <c r="G238" s="7">
        <f>IF($B238&lt;16,_xlfn.BITOR(_xlfn.BITAND($K237,$L237),_xlfn.BITAND(4294967295-$K237,$M237)),IF($B238&lt;32,_xlfn.BITOR(_xlfn.BITAND($M237,$K237),_xlfn.BITAND(4294967295-$M237,$L237)),IF($B238&lt;48,_xlfn.BITXOR(_xlfn.BITXOR($K237,$L237),$M237),_xlfn.BITXOR($L237,_xlfn.BITOR($K237,4294967295-$M237)))))</f>
        <v>3238254463</v>
      </c>
      <c r="H238" s="7">
        <f>MOD($G238+$J237+$C238+$F238,4294967296)</f>
        <v>628263365</v>
      </c>
      <c r="I238" s="7">
        <f>MOD($H238,2^(32-$D238))*2^$D238+INT($H238/2^(32-$D238))</f>
        <v>1462279250</v>
      </c>
      <c r="J238" s="7">
        <f>$M237</f>
        <v>1215230214</v>
      </c>
      <c r="K238" s="7">
        <f>MOD($K237+$I238,4294967296)</f>
        <v>2078904789</v>
      </c>
      <c r="L238" s="7">
        <f>$K237</f>
        <v>616625539</v>
      </c>
      <c r="M238" s="7">
        <f>$L237</f>
        <v>2913850362</v>
      </c>
    </row>
    <row r="239" spans="1:13">
      <c r="A239" s="7">
        <v>4</v>
      </c>
      <c r="B239" s="7">
        <v>41</v>
      </c>
      <c r="C239" s="7">
        <f>INDEX(Sheet2!$B$2:$B$65,$B239+1)</f>
        <v>3936430074</v>
      </c>
      <c r="D239" s="7">
        <f>INDEX(Sheet2!$C$2:$C$65,$B239+1)</f>
        <v>11</v>
      </c>
      <c r="E239" s="7">
        <f>INDEX(Sheet2!$D$2:$D$65,$B239+1)</f>
        <v>0</v>
      </c>
      <c r="F239" s="7">
        <f>INDEX(Sheet3!$AY$2:$BN$11,$A239,$E239+1)</f>
        <v>1701654643</v>
      </c>
      <c r="G239" s="7">
        <f>IF($B239&lt;16,_xlfn.BITOR(_xlfn.BITAND($K238,$L238),_xlfn.BITAND(4294967295-$K238,$M238)),IF($B239&lt;32,_xlfn.BITOR(_xlfn.BITAND($M238,$K238),_xlfn.BITAND(4294967295-$M238,$L238)),IF($B239&lt;48,_xlfn.BITXOR(_xlfn.BITXOR($K238,$L238),$M238),_xlfn.BITXOR($L238,_xlfn.BITOR($K238,4294967295-$M238)))))</f>
        <v>4068784044</v>
      </c>
      <c r="H239" s="7">
        <f>MOD($G239+$J238+$C239+$F239,4294967296)</f>
        <v>2332164383</v>
      </c>
      <c r="I239" s="7">
        <f>MOD($H239,2^(32-$D239))*2^$D239+INT($H239/2^(32-$D239))</f>
        <v>269024344</v>
      </c>
      <c r="J239" s="7">
        <f>$M238</f>
        <v>2913850362</v>
      </c>
      <c r="K239" s="7">
        <f>MOD($K238+$I239,4294967296)</f>
        <v>2347929133</v>
      </c>
      <c r="L239" s="7">
        <f>$K238</f>
        <v>2078904789</v>
      </c>
      <c r="M239" s="7">
        <f>$L238</f>
        <v>616625539</v>
      </c>
    </row>
    <row r="240" spans="1:13">
      <c r="A240" s="7">
        <v>4</v>
      </c>
      <c r="B240" s="7">
        <v>42</v>
      </c>
      <c r="C240" s="7">
        <f>INDEX(Sheet2!$B$2:$B$65,$B240+1)</f>
        <v>3572445317</v>
      </c>
      <c r="D240" s="7">
        <f>INDEX(Sheet2!$C$2:$C$65,$B240+1)</f>
        <v>16</v>
      </c>
      <c r="E240" s="7">
        <f>INDEX(Sheet2!$D$2:$D$65,$B240+1)</f>
        <v>3</v>
      </c>
      <c r="F240" s="7">
        <f>INDEX(Sheet3!$AY$2:$BN$11,$A240,$E240+1)</f>
        <v>1953248371</v>
      </c>
      <c r="G240" s="7">
        <f>IF($B240&lt;16,_xlfn.BITOR(_xlfn.BITAND($K239,$L239),_xlfn.BITAND(4294967295-$K239,$M239)),IF($B240&lt;32,_xlfn.BITOR(_xlfn.BITAND($M239,$K239),_xlfn.BITAND(4294967295-$M239,$L239)),IF($B240&lt;48,_xlfn.BITXOR(_xlfn.BITXOR($K239,$L239),$M239),_xlfn.BITXOR($L239,_xlfn.BITOR($K239,4294967295-$M239)))))</f>
        <v>3571182203</v>
      </c>
      <c r="H240" s="7">
        <f>MOD($G240+$J239+$C240+$F240,4294967296)</f>
        <v>3420791661</v>
      </c>
      <c r="I240" s="7">
        <f>MOD($H240,2^(32-$D240))*2^$D240+INT($H240/2^(32-$D240))</f>
        <v>594398181</v>
      </c>
      <c r="J240" s="7">
        <f>$M239</f>
        <v>616625539</v>
      </c>
      <c r="K240" s="7">
        <f>MOD($K239+$I240,4294967296)</f>
        <v>2942327314</v>
      </c>
      <c r="L240" s="7">
        <f>$K239</f>
        <v>2347929133</v>
      </c>
      <c r="M240" s="7">
        <f>$L239</f>
        <v>2078904789</v>
      </c>
    </row>
    <row r="241" spans="1:13">
      <c r="A241" s="7">
        <v>4</v>
      </c>
      <c r="B241" s="7">
        <v>43</v>
      </c>
      <c r="C241" s="7">
        <f>INDEX(Sheet2!$B$2:$B$65,$B241+1)</f>
        <v>76029189</v>
      </c>
      <c r="D241" s="7">
        <f>INDEX(Sheet2!$C$2:$C$65,$B241+1)</f>
        <v>23</v>
      </c>
      <c r="E241" s="7">
        <f>INDEX(Sheet2!$D$2:$D$65,$B241+1)</f>
        <v>6</v>
      </c>
      <c r="F241" s="7">
        <f>INDEX(Sheet3!$AY$2:$BN$11,$A241,$E241+1)</f>
        <v>0</v>
      </c>
      <c r="G241" s="7">
        <f>IF($B241&lt;16,_xlfn.BITOR(_xlfn.BITAND($K240,$L240),_xlfn.BITAND(4294967295-$K240,$M240)),IF($B241&lt;32,_xlfn.BITOR(_xlfn.BITAND($M240,$K240),_xlfn.BITAND(4294967295-$M240,$L240)),IF($B241&lt;48,_xlfn.BITXOR(_xlfn.BITXOR($K240,$L240),$M240),_xlfn.BITXOR($L240,_xlfn.BITOR($K240,4294967295-$M240)))))</f>
        <v>1601914346</v>
      </c>
      <c r="H241" s="7">
        <f>MOD($G241+$J240+$C241+$F241,4294967296)</f>
        <v>2294569074</v>
      </c>
      <c r="I241" s="7">
        <f>MOD($H241,2^(32-$D241))*2^$D241+INT($H241/2^(32-$D241))</f>
        <v>960782892</v>
      </c>
      <c r="J241" s="7">
        <f>$M240</f>
        <v>2078904789</v>
      </c>
      <c r="K241" s="7">
        <f>MOD($K240+$I241,4294967296)</f>
        <v>3903110206</v>
      </c>
      <c r="L241" s="7">
        <f>$K240</f>
        <v>2942327314</v>
      </c>
      <c r="M241" s="7">
        <f>$L240</f>
        <v>2347929133</v>
      </c>
    </row>
    <row r="242" spans="1:13">
      <c r="A242" s="7">
        <v>4</v>
      </c>
      <c r="B242" s="7">
        <v>44</v>
      </c>
      <c r="C242" s="7">
        <f>INDEX(Sheet2!$B$2:$B$65,$B242+1)</f>
        <v>3654602809</v>
      </c>
      <c r="D242" s="7">
        <f>INDEX(Sheet2!$C$2:$C$65,$B242+1)</f>
        <v>4</v>
      </c>
      <c r="E242" s="7">
        <f>INDEX(Sheet2!$D$2:$D$65,$B242+1)</f>
        <v>9</v>
      </c>
      <c r="F242" s="7">
        <f>INDEX(Sheet3!$AY$2:$BN$11,$A242,$E242+1)</f>
        <v>0</v>
      </c>
      <c r="G242" s="7">
        <f>IF($B242&lt;16,_xlfn.BITOR(_xlfn.BITAND($K241,$L241),_xlfn.BITAND(4294967295-$K241,$M241)),IF($B242&lt;32,_xlfn.BITOR(_xlfn.BITAND($M241,$K241),_xlfn.BITAND(4294967295-$M241,$L241)),IF($B242&lt;48,_xlfn.BITXOR(_xlfn.BITXOR($K241,$L241),$M241),_xlfn.BITXOR($L241,_xlfn.BITOR($K241,4294967295-$M241)))))</f>
        <v>3426117633</v>
      </c>
      <c r="H242" s="7">
        <f>MOD($G242+$J241+$C242+$F242,4294967296)</f>
        <v>569690639</v>
      </c>
      <c r="I242" s="7">
        <f>MOD($H242,2^(32-$D242))*2^$D242+INT($H242/2^(32-$D242))</f>
        <v>525115634</v>
      </c>
      <c r="J242" s="7">
        <f>$M241</f>
        <v>2347929133</v>
      </c>
      <c r="K242" s="7">
        <f>MOD($K241+$I242,4294967296)</f>
        <v>133258544</v>
      </c>
      <c r="L242" s="7">
        <f>$K241</f>
        <v>3903110206</v>
      </c>
      <c r="M242" s="7">
        <f>$L241</f>
        <v>2942327314</v>
      </c>
    </row>
    <row r="243" spans="1:13">
      <c r="A243" s="7">
        <v>4</v>
      </c>
      <c r="B243" s="7">
        <v>45</v>
      </c>
      <c r="C243" s="7">
        <f>INDEX(Sheet2!$B$2:$B$65,$B243+1)</f>
        <v>3873151461</v>
      </c>
      <c r="D243" s="7">
        <f>INDEX(Sheet2!$C$2:$C$65,$B243+1)</f>
        <v>11</v>
      </c>
      <c r="E243" s="7">
        <f>INDEX(Sheet2!$D$2:$D$65,$B243+1)</f>
        <v>12</v>
      </c>
      <c r="F243" s="7">
        <f>INDEX(Sheet3!$AY$2:$BN$11,$A243,$E243+1)</f>
        <v>0</v>
      </c>
      <c r="G243" s="7">
        <f>IF($B243&lt;16,_xlfn.BITOR(_xlfn.BITAND($K242,$L242),_xlfn.BITAND(4294967295-$K242,$M242)),IF($B243&lt;32,_xlfn.BITOR(_xlfn.BITAND($M242,$K242),_xlfn.BITAND(4294967295-$M242,$L242)),IF($B243&lt;48,_xlfn.BITXOR(_xlfn.BITXOR($K242,$L242),$M242),_xlfn.BITXOR($L242,_xlfn.BITOR($K242,4294967295-$M242)))))</f>
        <v>1077263132</v>
      </c>
      <c r="H243" s="7">
        <f>MOD($G243+$J242+$C243+$F243,4294967296)</f>
        <v>3003376430</v>
      </c>
      <c r="I243" s="7">
        <f>MOD($H243,2^(32-$D243))*2^$D243+INT($H243/2^(32-$D243))</f>
        <v>521762200</v>
      </c>
      <c r="J243" s="7">
        <f>$M242</f>
        <v>2942327314</v>
      </c>
      <c r="K243" s="7">
        <f>MOD($K242+$I243,4294967296)</f>
        <v>655020744</v>
      </c>
      <c r="L243" s="7">
        <f>$K242</f>
        <v>133258544</v>
      </c>
      <c r="M243" s="7">
        <f>$L242</f>
        <v>3903110206</v>
      </c>
    </row>
    <row r="244" spans="1:13">
      <c r="A244" s="7">
        <v>4</v>
      </c>
      <c r="B244" s="7">
        <v>46</v>
      </c>
      <c r="C244" s="7">
        <f>INDEX(Sheet2!$B$2:$B$65,$B244+1)</f>
        <v>530742520</v>
      </c>
      <c r="D244" s="7">
        <f>INDEX(Sheet2!$C$2:$C$65,$B244+1)</f>
        <v>16</v>
      </c>
      <c r="E244" s="7">
        <f>INDEX(Sheet2!$D$2:$D$65,$B244+1)</f>
        <v>15</v>
      </c>
      <c r="F244" s="7">
        <f>INDEX(Sheet3!$AY$2:$BN$11,$A244,$E244+1)</f>
        <v>0</v>
      </c>
      <c r="G244" s="7">
        <f>IF($B244&lt;16,_xlfn.BITOR(_xlfn.BITAND($K243,$L243),_xlfn.BITAND(4294967295-$K243,$M243)),IF($B244&lt;32,_xlfn.BITOR(_xlfn.BITAND($M243,$K243),_xlfn.BITAND(4294967295-$M243,$L243)),IF($B244&lt;48,_xlfn.BITXOR(_xlfn.BITXOR($K243,$L243),$M243),_xlfn.BITXOR($L243,_xlfn.BITOR($K243,4294967295-$M243)))))</f>
        <v>3361682374</v>
      </c>
      <c r="H244" s="7">
        <f>MOD($G244+$J243+$C244+$F244,4294967296)</f>
        <v>2539784912</v>
      </c>
      <c r="I244" s="7">
        <f>MOD($H244,2^(32-$D244))*2^$D244+INT($H244/2^(32-$D244))</f>
        <v>181442402</v>
      </c>
      <c r="J244" s="7">
        <f>$M243</f>
        <v>3903110206</v>
      </c>
      <c r="K244" s="7">
        <f>MOD($K243+$I244,4294967296)</f>
        <v>836463146</v>
      </c>
      <c r="L244" s="7">
        <f>$K243</f>
        <v>655020744</v>
      </c>
      <c r="M244" s="7">
        <f>$L243</f>
        <v>133258544</v>
      </c>
    </row>
    <row r="245" spans="1:13">
      <c r="A245" s="7">
        <v>4</v>
      </c>
      <c r="B245" s="7">
        <v>47</v>
      </c>
      <c r="C245" s="7">
        <f>INDEX(Sheet2!$B$2:$B$65,$B245+1)</f>
        <v>3299628645</v>
      </c>
      <c r="D245" s="7">
        <f>INDEX(Sheet2!$C$2:$C$65,$B245+1)</f>
        <v>23</v>
      </c>
      <c r="E245" s="7">
        <f>INDEX(Sheet2!$D$2:$D$65,$B245+1)</f>
        <v>2</v>
      </c>
      <c r="F245" s="7">
        <f>INDEX(Sheet3!$AY$2:$BN$11,$A245,$E245+1)</f>
        <v>1601792820</v>
      </c>
      <c r="G245" s="7">
        <f>IF($B245&lt;16,_xlfn.BITOR(_xlfn.BITAND($K244,$L244),_xlfn.BITAND(4294967295-$K244,$M244)),IF($B245&lt;32,_xlfn.BITOR(_xlfn.BITAND($M244,$K244),_xlfn.BITAND(4294967295-$M244,$L244)),IF($B245&lt;48,_xlfn.BITXOR(_xlfn.BITXOR($K244,$L244),$M244),_xlfn.BITXOR($L244,_xlfn.BITOR($K244,4294967295-$M244)))))</f>
        <v>287368658</v>
      </c>
      <c r="H245" s="7">
        <f>MOD($G245+$J244+$C245+$F245,4294967296)</f>
        <v>501965737</v>
      </c>
      <c r="I245" s="7">
        <f>MOD($H245,2^(32-$D245))*2^$D245+INT($H245/2^(32-$D245))</f>
        <v>3566138801</v>
      </c>
      <c r="J245" s="7">
        <f>$M244</f>
        <v>133258544</v>
      </c>
      <c r="K245" s="7">
        <f>MOD($K244+$I245,4294967296)</f>
        <v>107634651</v>
      </c>
      <c r="L245" s="7">
        <f>$K244</f>
        <v>836463146</v>
      </c>
      <c r="M245" s="7">
        <f>$L244</f>
        <v>655020744</v>
      </c>
    </row>
    <row r="246" spans="1:13">
      <c r="A246" s="7">
        <v>4</v>
      </c>
      <c r="B246" s="7">
        <v>48</v>
      </c>
      <c r="C246" s="7">
        <f>INDEX(Sheet2!$B$2:$B$65,$B246+1)</f>
        <v>4096336452</v>
      </c>
      <c r="D246" s="7">
        <f>INDEX(Sheet2!$C$2:$C$65,$B246+1)</f>
        <v>6</v>
      </c>
      <c r="E246" s="7">
        <f>INDEX(Sheet2!$D$2:$D$65,$B246+1)</f>
        <v>0</v>
      </c>
      <c r="F246" s="7">
        <f>INDEX(Sheet3!$AY$2:$BN$11,$A246,$E246+1)</f>
        <v>1701654643</v>
      </c>
      <c r="G246" s="7">
        <f>IF($B246&lt;16,_xlfn.BITOR(_xlfn.BITAND($K245,$L245),_xlfn.BITAND(4294967295-$K245,$M245)),IF($B246&lt;32,_xlfn.BITOR(_xlfn.BITAND($M245,$K245),_xlfn.BITAND(4294967295-$M245,$L245)),IF($B246&lt;48,_xlfn.BITXOR(_xlfn.BITXOR($K245,$L245),$M245),_xlfn.BITXOR($L245,_xlfn.BITOR($K245,4294967295-$M245)))))</f>
        <v>4012119509</v>
      </c>
      <c r="H246" s="7">
        <f>MOD($G246+$J245+$C246+$F246,4294967296)</f>
        <v>1353434556</v>
      </c>
      <c r="I246" s="7">
        <f>MOD($H246,2^(32-$D246))*2^$D246+INT($H246/2^(32-$D246))</f>
        <v>720465684</v>
      </c>
      <c r="J246" s="7">
        <f>$M245</f>
        <v>655020744</v>
      </c>
      <c r="K246" s="7">
        <f>MOD($K245+$I246,4294967296)</f>
        <v>828100335</v>
      </c>
      <c r="L246" s="7">
        <f>$K245</f>
        <v>107634651</v>
      </c>
      <c r="M246" s="7">
        <f>$L245</f>
        <v>836463146</v>
      </c>
    </row>
    <row r="247" spans="1:13">
      <c r="A247" s="7">
        <v>4</v>
      </c>
      <c r="B247" s="7">
        <v>49</v>
      </c>
      <c r="C247" s="7">
        <f>INDEX(Sheet2!$B$2:$B$65,$B247+1)</f>
        <v>1126891415</v>
      </c>
      <c r="D247" s="7">
        <f>INDEX(Sheet2!$C$2:$C$65,$B247+1)</f>
        <v>10</v>
      </c>
      <c r="E247" s="7">
        <f>INDEX(Sheet2!$D$2:$D$65,$B247+1)</f>
        <v>7</v>
      </c>
      <c r="F247" s="7">
        <f>INDEX(Sheet3!$AY$2:$BN$11,$A247,$E247+1)</f>
        <v>0</v>
      </c>
      <c r="G247" s="7">
        <f>IF($B247&lt;16,_xlfn.BITOR(_xlfn.BITAND($K246,$L246),_xlfn.BITAND(4294967295-$K246,$M246)),IF($B247&lt;32,_xlfn.BITOR(_xlfn.BITAND($M246,$K246),_xlfn.BITAND(4294967295-$M246,$L246)),IF($B247&lt;48,_xlfn.BITXOR(_xlfn.BITXOR($K246,$L246),$M246),_xlfn.BITXOR($L246,_xlfn.BITOR($K246,4294967295-$M246)))))</f>
        <v>4178935844</v>
      </c>
      <c r="H247" s="7">
        <f>MOD($G247+$J246+$C247+$F247,4294967296)</f>
        <v>1665880707</v>
      </c>
      <c r="I247" s="7">
        <f>MOD($H247,2^(32-$D247))*2^$D247+INT($H247/2^(32-$D247))</f>
        <v>759827853</v>
      </c>
      <c r="J247" s="7">
        <f>$M246</f>
        <v>836463146</v>
      </c>
      <c r="K247" s="7">
        <f>MOD($K246+$I247,4294967296)</f>
        <v>1587928188</v>
      </c>
      <c r="L247" s="7">
        <f>$K246</f>
        <v>828100335</v>
      </c>
      <c r="M247" s="7">
        <f>$L246</f>
        <v>107634651</v>
      </c>
    </row>
    <row r="248" spans="1:13">
      <c r="A248" s="7">
        <v>4</v>
      </c>
      <c r="B248" s="7">
        <v>50</v>
      </c>
      <c r="C248" s="7">
        <f>INDEX(Sheet2!$B$2:$B$65,$B248+1)</f>
        <v>2878612391</v>
      </c>
      <c r="D248" s="7">
        <f>INDEX(Sheet2!$C$2:$C$65,$B248+1)</f>
        <v>15</v>
      </c>
      <c r="E248" s="7">
        <f>INDEX(Sheet2!$D$2:$D$65,$B248+1)</f>
        <v>14</v>
      </c>
      <c r="F248" s="7">
        <f>INDEX(Sheet3!$AY$2:$BN$11,$A248,$E248+1)</f>
        <v>152</v>
      </c>
      <c r="G248" s="7">
        <f>IF($B248&lt;16,_xlfn.BITOR(_xlfn.BITAND($K247,$L247),_xlfn.BITAND(4294967295-$K247,$M247)),IF($B248&lt;32,_xlfn.BITOR(_xlfn.BITAND($M247,$K247),_xlfn.BITAND(4294967295-$M247,$L247)),IF($B248&lt;48,_xlfn.BITXOR(_xlfn.BITXOR($K247,$L247),$M247),_xlfn.BITXOR($L247,_xlfn.BITOR($K247,4294967295-$M247)))))</f>
        <v>3471717011</v>
      </c>
      <c r="H248" s="7">
        <f>MOD($G248+$J247+$C248+$F248,4294967296)</f>
        <v>2891825404</v>
      </c>
      <c r="I248" s="7">
        <f>MOD($H248,2^(32-$D248))*2^$D248+INT($H248/2^(32-$D248))</f>
        <v>3766375982</v>
      </c>
      <c r="J248" s="7">
        <f>$M247</f>
        <v>107634651</v>
      </c>
      <c r="K248" s="7">
        <f>MOD($K247+$I248,4294967296)</f>
        <v>1059336874</v>
      </c>
      <c r="L248" s="7">
        <f>$K247</f>
        <v>1587928188</v>
      </c>
      <c r="M248" s="7">
        <f>$L247</f>
        <v>828100335</v>
      </c>
    </row>
    <row r="249" spans="1:13">
      <c r="A249" s="7">
        <v>4</v>
      </c>
      <c r="B249" s="7">
        <v>51</v>
      </c>
      <c r="C249" s="7">
        <f>INDEX(Sheet2!$B$2:$B$65,$B249+1)</f>
        <v>4237533241</v>
      </c>
      <c r="D249" s="7">
        <f>INDEX(Sheet2!$C$2:$C$65,$B249+1)</f>
        <v>21</v>
      </c>
      <c r="E249" s="7">
        <f>INDEX(Sheet2!$D$2:$D$65,$B249+1)</f>
        <v>5</v>
      </c>
      <c r="F249" s="7">
        <f>INDEX(Sheet3!$AY$2:$BN$11,$A249,$E249+1)</f>
        <v>0</v>
      </c>
      <c r="G249" s="7">
        <f>IF($B249&lt;16,_xlfn.BITOR(_xlfn.BITAND($K248,$L248),_xlfn.BITAND(4294967295-$K248,$M248)),IF($B249&lt;32,_xlfn.BITOR(_xlfn.BITAND($M248,$K248),_xlfn.BITAND(4294967295-$M248,$L248)),IF($B249&lt;48,_xlfn.BITXOR(_xlfn.BITXOR($K248,$L248),$M248),_xlfn.BITXOR($L248,_xlfn.BITOR($K248,4294967295-$M248)))))</f>
        <v>2701258694</v>
      </c>
      <c r="H249" s="7">
        <f>MOD($G249+$J248+$C249+$F249,4294967296)</f>
        <v>2751459290</v>
      </c>
      <c r="I249" s="7">
        <f>MOD($H249,2^(32-$D249))*2^$D249+INT($H249/2^(32-$D249))</f>
        <v>4216619005</v>
      </c>
      <c r="J249" s="7">
        <f>$M248</f>
        <v>828100335</v>
      </c>
      <c r="K249" s="7">
        <f>MOD($K248+$I249,4294967296)</f>
        <v>980988583</v>
      </c>
      <c r="L249" s="7">
        <f>$K248</f>
        <v>1059336874</v>
      </c>
      <c r="M249" s="7">
        <f>$L248</f>
        <v>1587928188</v>
      </c>
    </row>
    <row r="250" spans="1:13">
      <c r="A250" s="7">
        <v>4</v>
      </c>
      <c r="B250" s="7">
        <v>52</v>
      </c>
      <c r="C250" s="7">
        <f>INDEX(Sheet2!$B$2:$B$65,$B250+1)</f>
        <v>1700485571</v>
      </c>
      <c r="D250" s="7">
        <f>INDEX(Sheet2!$C$2:$C$65,$B250+1)</f>
        <v>6</v>
      </c>
      <c r="E250" s="7">
        <f>INDEX(Sheet2!$D$2:$D$65,$B250+1)</f>
        <v>12</v>
      </c>
      <c r="F250" s="7">
        <f>INDEX(Sheet3!$AY$2:$BN$11,$A250,$E250+1)</f>
        <v>0</v>
      </c>
      <c r="G250" s="7">
        <f>IF($B250&lt;16,_xlfn.BITOR(_xlfn.BITAND($K249,$L249),_xlfn.BITAND(4294967295-$K249,$M249)),IF($B250&lt;32,_xlfn.BITOR(_xlfn.BITAND($M249,$K249),_xlfn.BITAND(4294967295-$M249,$L249)),IF($B250&lt;48,_xlfn.BITXOR(_xlfn.BITXOR($K249,$L249),$M249),_xlfn.BITXOR($L249,_xlfn.BITOR($K249,4294967295-$M249)))))</f>
        <v>2220785933</v>
      </c>
      <c r="H250" s="7">
        <f>MOD($G250+$J249+$C250+$F250,4294967296)</f>
        <v>454404543</v>
      </c>
      <c r="I250" s="7">
        <f>MOD($H250,2^(32-$D250))*2^$D250+INT($H250/2^(32-$D250))</f>
        <v>3312086982</v>
      </c>
      <c r="J250" s="7">
        <f>$M249</f>
        <v>1587928188</v>
      </c>
      <c r="K250" s="7">
        <f>MOD($K249+$I250,4294967296)</f>
        <v>4293075565</v>
      </c>
      <c r="L250" s="7">
        <f>$K249</f>
        <v>980988583</v>
      </c>
      <c r="M250" s="7">
        <f>$L249</f>
        <v>1059336874</v>
      </c>
    </row>
    <row r="251" spans="1:13">
      <c r="A251" s="7">
        <v>4</v>
      </c>
      <c r="B251" s="7">
        <v>53</v>
      </c>
      <c r="C251" s="7">
        <f>INDEX(Sheet2!$B$2:$B$65,$B251+1)</f>
        <v>2399980690</v>
      </c>
      <c r="D251" s="7">
        <f>INDEX(Sheet2!$C$2:$C$65,$B251+1)</f>
        <v>10</v>
      </c>
      <c r="E251" s="7">
        <f>INDEX(Sheet2!$D$2:$D$65,$B251+1)</f>
        <v>3</v>
      </c>
      <c r="F251" s="7">
        <f>INDEX(Sheet3!$AY$2:$BN$11,$A251,$E251+1)</f>
        <v>1953248371</v>
      </c>
      <c r="G251" s="7">
        <f>IF($B251&lt;16,_xlfn.BITOR(_xlfn.BITAND($K250,$L250),_xlfn.BITAND(4294967295-$K250,$M250)),IF($B251&lt;32,_xlfn.BITOR(_xlfn.BITAND($M250,$K250),_xlfn.BITAND(4294967295-$M250,$L250)),IF($B251&lt;48,_xlfn.BITXOR(_xlfn.BITXOR($K250,$L250),$M250),_xlfn.BITXOR($L250,_xlfn.BITOR($K250,4294967295-$M250)))))</f>
        <v>3313720794</v>
      </c>
      <c r="H251" s="7">
        <f>MOD($G251+$J250+$C251+$F251,4294967296)</f>
        <v>664943451</v>
      </c>
      <c r="I251" s="7">
        <f>MOD($H251,2^(32-$D251))*2^$D251+INT($H251/2^(32-$D251))</f>
        <v>2297261214</v>
      </c>
      <c r="J251" s="7">
        <f>$M250</f>
        <v>1059336874</v>
      </c>
      <c r="K251" s="7">
        <f>MOD($K250+$I251,4294967296)</f>
        <v>2295369483</v>
      </c>
      <c r="L251" s="7">
        <f>$K250</f>
        <v>4293075565</v>
      </c>
      <c r="M251" s="7">
        <f>$L250</f>
        <v>980988583</v>
      </c>
    </row>
    <row r="252" spans="1:13">
      <c r="A252" s="7">
        <v>4</v>
      </c>
      <c r="B252" s="7">
        <v>54</v>
      </c>
      <c r="C252" s="7">
        <f>INDEX(Sheet2!$B$2:$B$65,$B252+1)</f>
        <v>4293915773</v>
      </c>
      <c r="D252" s="7">
        <f>INDEX(Sheet2!$C$2:$C$65,$B252+1)</f>
        <v>15</v>
      </c>
      <c r="E252" s="7">
        <f>INDEX(Sheet2!$D$2:$D$65,$B252+1)</f>
        <v>10</v>
      </c>
      <c r="F252" s="7">
        <f>INDEX(Sheet3!$AY$2:$BN$11,$A252,$E252+1)</f>
        <v>0</v>
      </c>
      <c r="G252" s="7">
        <f>IF($B252&lt;16,_xlfn.BITOR(_xlfn.BITAND($K251,$L251),_xlfn.BITAND(4294967295-$K251,$M251)),IF($B252&lt;32,_xlfn.BITOR(_xlfn.BITAND($M251,$K251),_xlfn.BITAND(4294967295-$M251,$L251)),IF($B252&lt;48,_xlfn.BITXOR(_xlfn.BITXOR($K251,$L251),$M251),_xlfn.BITXOR($L251,_xlfn.BITOR($K251,4294967295-$M251)))))</f>
        <v>842329398</v>
      </c>
      <c r="H252" s="7">
        <f>MOD($G252+$J251+$C252+$F252,4294967296)</f>
        <v>1900614749</v>
      </c>
      <c r="I252" s="7">
        <f>MOD($H252,2^(32-$D252))*2^$D252+INT($H252/2^(32-$D252))</f>
        <v>2318317732</v>
      </c>
      <c r="J252" s="7">
        <f>$M251</f>
        <v>980988583</v>
      </c>
      <c r="K252" s="7">
        <f>MOD($K251+$I252,4294967296)</f>
        <v>318719919</v>
      </c>
      <c r="L252" s="7">
        <f>$K251</f>
        <v>2295369483</v>
      </c>
      <c r="M252" s="7">
        <f>$L251</f>
        <v>4293075565</v>
      </c>
    </row>
    <row r="253" spans="1:13">
      <c r="A253" s="7">
        <v>4</v>
      </c>
      <c r="B253" s="7">
        <v>55</v>
      </c>
      <c r="C253" s="7">
        <f>INDEX(Sheet2!$B$2:$B$65,$B253+1)</f>
        <v>2240044497</v>
      </c>
      <c r="D253" s="7">
        <f>INDEX(Sheet2!$C$2:$C$65,$B253+1)</f>
        <v>21</v>
      </c>
      <c r="E253" s="7">
        <f>INDEX(Sheet2!$D$2:$D$65,$B253+1)</f>
        <v>1</v>
      </c>
      <c r="F253" s="7">
        <f>INDEX(Sheet3!$AY$2:$BN$11,$A253,$E253+1)</f>
        <v>862876511</v>
      </c>
      <c r="G253" s="7">
        <f>IF($B253&lt;16,_xlfn.BITOR(_xlfn.BITAND($K252,$L252),_xlfn.BITAND(4294967295-$K252,$M252)),IF($B253&lt;32,_xlfn.BITOR(_xlfn.BITAND($M252,$K252),_xlfn.BITAND(4294967295-$M252,$L252)),IF($B253&lt;48,_xlfn.BITXOR(_xlfn.BITXOR($K252,$L252),$M252),_xlfn.BITXOR($L252,_xlfn.BITOR($K252,4294967295-$M252)))))</f>
        <v>2586792116</v>
      </c>
      <c r="H253" s="7">
        <f>MOD($G253+$J252+$C253+$F253,4294967296)</f>
        <v>2375734411</v>
      </c>
      <c r="I253" s="7">
        <f>MOD($H253,2^(32-$D253))*2^$D253+INT($H253/2^(32-$D253))</f>
        <v>2440147802</v>
      </c>
      <c r="J253" s="7">
        <f>$M252</f>
        <v>4293075565</v>
      </c>
      <c r="K253" s="7">
        <f>MOD($K252+$I253,4294967296)</f>
        <v>2758867721</v>
      </c>
      <c r="L253" s="7">
        <f>$K252</f>
        <v>318719919</v>
      </c>
      <c r="M253" s="7">
        <f>$L252</f>
        <v>2295369483</v>
      </c>
    </row>
    <row r="254" spans="1:13">
      <c r="A254" s="7">
        <v>4</v>
      </c>
      <c r="B254" s="7">
        <v>56</v>
      </c>
      <c r="C254" s="7">
        <f>INDEX(Sheet2!$B$2:$B$65,$B254+1)</f>
        <v>1873313359</v>
      </c>
      <c r="D254" s="7">
        <f>INDEX(Sheet2!$C$2:$C$65,$B254+1)</f>
        <v>6</v>
      </c>
      <c r="E254" s="7">
        <f>INDEX(Sheet2!$D$2:$D$65,$B254+1)</f>
        <v>8</v>
      </c>
      <c r="F254" s="7">
        <f>INDEX(Sheet3!$AY$2:$BN$11,$A254,$E254+1)</f>
        <v>0</v>
      </c>
      <c r="G254" s="7">
        <f>IF($B254&lt;16,_xlfn.BITOR(_xlfn.BITAND($K253,$L253),_xlfn.BITAND(4294967295-$K253,$M253)),IF($B254&lt;32,_xlfn.BITOR(_xlfn.BITAND($M253,$K253),_xlfn.BITAND(4294967295-$M253,$L253)),IF($B254&lt;48,_xlfn.BITXOR(_xlfn.BITXOR($K253,$L253),$M253),_xlfn.BITXOR($L253,_xlfn.BITOR($K253,4294967295-$M253)))))</f>
        <v>3850419282</v>
      </c>
      <c r="H254" s="7">
        <f>MOD($G254+$J253+$C254+$F254,4294967296)</f>
        <v>1426873614</v>
      </c>
      <c r="I254" s="7">
        <f>MOD($H254,2^(32-$D254))*2^$D254+INT($H254/2^(32-$D254))</f>
        <v>1125598101</v>
      </c>
      <c r="J254" s="7">
        <f>$M253</f>
        <v>2295369483</v>
      </c>
      <c r="K254" s="7">
        <f>MOD($K253+$I254,4294967296)</f>
        <v>3884465822</v>
      </c>
      <c r="L254" s="7">
        <f>$K253</f>
        <v>2758867721</v>
      </c>
      <c r="M254" s="7">
        <f>$L253</f>
        <v>318719919</v>
      </c>
    </row>
    <row r="255" spans="1:13">
      <c r="A255" s="7">
        <v>4</v>
      </c>
      <c r="B255" s="7">
        <v>57</v>
      </c>
      <c r="C255" s="7">
        <f>INDEX(Sheet2!$B$2:$B$65,$B255+1)</f>
        <v>4264355552</v>
      </c>
      <c r="D255" s="7">
        <f>INDEX(Sheet2!$C$2:$C$65,$B255+1)</f>
        <v>10</v>
      </c>
      <c r="E255" s="7">
        <f>INDEX(Sheet2!$D$2:$D$65,$B255+1)</f>
        <v>15</v>
      </c>
      <c r="F255" s="7">
        <f>INDEX(Sheet3!$AY$2:$BN$11,$A255,$E255+1)</f>
        <v>0</v>
      </c>
      <c r="G255" s="7">
        <f>IF($B255&lt;16,_xlfn.BITOR(_xlfn.BITAND($K254,$L254),_xlfn.BITAND(4294967295-$K254,$M254)),IF($B255&lt;32,_xlfn.BITOR(_xlfn.BITAND($M254,$K254),_xlfn.BITAND(4294967295-$M254,$L254)),IF($B255&lt;48,_xlfn.BITXOR(_xlfn.BITXOR($K254,$L254),$M254),_xlfn.BITXOR($L254,_xlfn.BITOR($K254,4294967295-$M254)))))</f>
        <v>1274562007</v>
      </c>
      <c r="H255" s="7">
        <f>MOD($G255+$J254+$C255+$F255,4294967296)</f>
        <v>3539319746</v>
      </c>
      <c r="I255" s="7">
        <f>MOD($H255,2^(32-$D255))*2^$D255+INT($H255/2^(32-$D255))</f>
        <v>3605990219</v>
      </c>
      <c r="J255" s="7">
        <f>$M254</f>
        <v>318719919</v>
      </c>
      <c r="K255" s="7">
        <f>MOD($K254+$I255,4294967296)</f>
        <v>3195488745</v>
      </c>
      <c r="L255" s="7">
        <f>$K254</f>
        <v>3884465822</v>
      </c>
      <c r="M255" s="7">
        <f>$L254</f>
        <v>2758867721</v>
      </c>
    </row>
    <row r="256" spans="1:13">
      <c r="A256" s="7">
        <v>4</v>
      </c>
      <c r="B256" s="7">
        <v>58</v>
      </c>
      <c r="C256" s="7">
        <f>INDEX(Sheet2!$B$2:$B$65,$B256+1)</f>
        <v>2734768916</v>
      </c>
      <c r="D256" s="7">
        <f>INDEX(Sheet2!$C$2:$C$65,$B256+1)</f>
        <v>15</v>
      </c>
      <c r="E256" s="7">
        <f>INDEX(Sheet2!$D$2:$D$65,$B256+1)</f>
        <v>6</v>
      </c>
      <c r="F256" s="7">
        <f>INDEX(Sheet3!$AY$2:$BN$11,$A256,$E256+1)</f>
        <v>0</v>
      </c>
      <c r="G256" s="7">
        <f>IF($B256&lt;16,_xlfn.BITOR(_xlfn.BITAND($K255,$L255),_xlfn.BITAND(4294967295-$K255,$M255)),IF($B256&lt;32,_xlfn.BITOR(_xlfn.BITAND($M255,$K255),_xlfn.BITAND(4294967295-$M255,$L255)),IF($B256&lt;48,_xlfn.BITXOR(_xlfn.BITXOR($K255,$L255),$M255),_xlfn.BITXOR($L255,_xlfn.BITOR($K255,4294967295-$M255)))))</f>
        <v>410481505</v>
      </c>
      <c r="H256" s="7">
        <f>MOD($G256+$J255+$C256+$F256,4294967296)</f>
        <v>3463970340</v>
      </c>
      <c r="I256" s="7">
        <f>MOD($H256,2^(32-$D256))*2^$D256+INT($H256/2^(32-$D256))</f>
        <v>4279396155</v>
      </c>
      <c r="J256" s="7">
        <f>$M255</f>
        <v>2758867721</v>
      </c>
      <c r="K256" s="7">
        <f>MOD($K255+$I256,4294967296)</f>
        <v>3179917604</v>
      </c>
      <c r="L256" s="7">
        <f>$K255</f>
        <v>3195488745</v>
      </c>
      <c r="M256" s="7">
        <f>$L255</f>
        <v>3884465822</v>
      </c>
    </row>
    <row r="257" spans="1:13">
      <c r="A257" s="7">
        <v>4</v>
      </c>
      <c r="B257" s="7">
        <v>59</v>
      </c>
      <c r="C257" s="7">
        <f>INDEX(Sheet2!$B$2:$B$65,$B257+1)</f>
        <v>1309151649</v>
      </c>
      <c r="D257" s="7">
        <f>INDEX(Sheet2!$C$2:$C$65,$B257+1)</f>
        <v>21</v>
      </c>
      <c r="E257" s="7">
        <f>INDEX(Sheet2!$D$2:$D$65,$B257+1)</f>
        <v>13</v>
      </c>
      <c r="F257" s="7">
        <f>INDEX(Sheet3!$AY$2:$BN$11,$A257,$E257+1)</f>
        <v>0</v>
      </c>
      <c r="G257" s="7">
        <f>IF($B257&lt;16,_xlfn.BITOR(_xlfn.BITAND($K256,$L256),_xlfn.BITAND(4294967295-$K256,$M256)),IF($B257&lt;32,_xlfn.BITOR(_xlfn.BITAND($M256,$K256),_xlfn.BITAND(4294967295-$M256,$L256)),IF($B257&lt;48,_xlfn.BITXOR(_xlfn.BITXOR($K256,$L256),$M256),_xlfn.BITXOR($L256,_xlfn.BITOR($K256,4294967295-$M256)))))</f>
        <v>59291788</v>
      </c>
      <c r="H257" s="7">
        <f>MOD($G257+$J256+$C257+$F257,4294967296)</f>
        <v>4127311158</v>
      </c>
      <c r="I257" s="7">
        <f>MOD($H257,2^(32-$D257))*2^$D257+INT($H257/2^(32-$D257))</f>
        <v>2799616056</v>
      </c>
      <c r="J257" s="7">
        <f>$M256</f>
        <v>3884465822</v>
      </c>
      <c r="K257" s="7">
        <f>MOD($K256+$I257,4294967296)</f>
        <v>1684566364</v>
      </c>
      <c r="L257" s="7">
        <f>$K256</f>
        <v>3179917604</v>
      </c>
      <c r="M257" s="7">
        <f>$L256</f>
        <v>3195488745</v>
      </c>
    </row>
    <row r="258" spans="1:13">
      <c r="A258" s="7">
        <v>4</v>
      </c>
      <c r="B258" s="7">
        <v>60</v>
      </c>
      <c r="C258" s="7">
        <f>INDEX(Sheet2!$B$2:$B$65,$B258+1)</f>
        <v>4149444226</v>
      </c>
      <c r="D258" s="7">
        <f>INDEX(Sheet2!$C$2:$C$65,$B258+1)</f>
        <v>6</v>
      </c>
      <c r="E258" s="7">
        <f>INDEX(Sheet2!$D$2:$D$65,$B258+1)</f>
        <v>4</v>
      </c>
      <c r="F258" s="7">
        <f>INDEX(Sheet3!$AY$2:$BN$11,$A258,$E258+1)</f>
        <v>2151628607</v>
      </c>
      <c r="G258" s="7">
        <f>IF($B258&lt;16,_xlfn.BITOR(_xlfn.BITAND($K257,$L257),_xlfn.BITAND(4294967295-$K257,$M257)),IF($B258&lt;32,_xlfn.BITOR(_xlfn.BITAND($M257,$K257),_xlfn.BITAND(4294967295-$M257,$L257)),IF($B258&lt;48,_xlfn.BITXOR(_xlfn.BITXOR($K257,$L257),$M257),_xlfn.BITXOR($L257,_xlfn.BITOR($K257,4294967295-$M257)))))</f>
        <v>3630253690</v>
      </c>
      <c r="H258" s="7">
        <f>MOD($G258+$J257+$C258+$F258,4294967296)</f>
        <v>930890457</v>
      </c>
      <c r="I258" s="7">
        <f>MOD($H258,2^(32-$D258))*2^$D258+INT($H258/2^(32-$D258))</f>
        <v>3742414413</v>
      </c>
      <c r="J258" s="7">
        <f>$M257</f>
        <v>3195488745</v>
      </c>
      <c r="K258" s="7">
        <f>MOD($K257+$I258,4294967296)</f>
        <v>1132013481</v>
      </c>
      <c r="L258" s="7">
        <f>$K257</f>
        <v>1684566364</v>
      </c>
      <c r="M258" s="7">
        <f>$L257</f>
        <v>3179917604</v>
      </c>
    </row>
    <row r="259" spans="1:13">
      <c r="A259" s="7">
        <v>4</v>
      </c>
      <c r="B259" s="7">
        <v>61</v>
      </c>
      <c r="C259" s="7">
        <f>INDEX(Sheet2!$B$2:$B$65,$B259+1)</f>
        <v>3174756917</v>
      </c>
      <c r="D259" s="7">
        <f>INDEX(Sheet2!$C$2:$C$65,$B259+1)</f>
        <v>10</v>
      </c>
      <c r="E259" s="7">
        <f>INDEX(Sheet2!$D$2:$D$65,$B259+1)</f>
        <v>11</v>
      </c>
      <c r="F259" s="7">
        <f>INDEX(Sheet3!$AY$2:$BN$11,$A259,$E259+1)</f>
        <v>0</v>
      </c>
      <c r="G259" s="7">
        <f>IF($B259&lt;16,_xlfn.BITOR(_xlfn.BITAND($K258,$L258),_xlfn.BITAND(4294967295-$K258,$M258)),IF($B259&lt;32,_xlfn.BITOR(_xlfn.BITAND($M258,$K258),_xlfn.BITAND(4294967295-$M258,$L258)),IF($B259&lt;48,_xlfn.BITXOR(_xlfn.BITXOR($K258,$L258),$M258),_xlfn.BITXOR($L258,_xlfn.BITOR($K258,4294967295-$M258)))))</f>
        <v>655826599</v>
      </c>
      <c r="H259" s="7">
        <f>MOD($G259+$J258+$C259+$F259,4294967296)</f>
        <v>2731104965</v>
      </c>
      <c r="I259" s="7">
        <f>MOD($H259,2^(32-$D259))*2^$D259+INT($H259/2^(32-$D259))</f>
        <v>627775115</v>
      </c>
      <c r="J259" s="7">
        <f>$M258</f>
        <v>3179917604</v>
      </c>
      <c r="K259" s="7">
        <f>MOD($K258+$I259,4294967296)</f>
        <v>1759788596</v>
      </c>
      <c r="L259" s="7">
        <f>$K258</f>
        <v>1132013481</v>
      </c>
      <c r="M259" s="7">
        <f>$L258</f>
        <v>1684566364</v>
      </c>
    </row>
    <row r="260" spans="1:13">
      <c r="A260" s="7">
        <v>4</v>
      </c>
      <c r="B260" s="7">
        <v>62</v>
      </c>
      <c r="C260" s="7">
        <f>INDEX(Sheet2!$B$2:$B$65,$B260+1)</f>
        <v>718787259</v>
      </c>
      <c r="D260" s="7">
        <f>INDEX(Sheet2!$C$2:$C$65,$B260+1)</f>
        <v>15</v>
      </c>
      <c r="E260" s="7">
        <f>INDEX(Sheet2!$D$2:$D$65,$B260+1)</f>
        <v>2</v>
      </c>
      <c r="F260" s="7">
        <f>INDEX(Sheet3!$AY$2:$BN$11,$A260,$E260+1)</f>
        <v>1601792820</v>
      </c>
      <c r="G260" s="7">
        <f>IF($B260&lt;16,_xlfn.BITOR(_xlfn.BITAND($K259,$L259),_xlfn.BITAND(4294967295-$K259,$M259)),IF($B260&lt;32,_xlfn.BITOR(_xlfn.BITAND($M259,$K259),_xlfn.BITAND(4294967295-$M259,$L259)),IF($B260&lt;48,_xlfn.BITXOR(_xlfn.BITXOR($K259,$L259),$M259),_xlfn.BITXOR($L259,_xlfn.BITOR($K259,4294967295-$M259)))))</f>
        <v>3096353054</v>
      </c>
      <c r="H260" s="7">
        <f>MOD($G260+$J259+$C260+$F260,4294967296)</f>
        <v>6916145</v>
      </c>
      <c r="I260" s="7">
        <f>MOD($H260,2^(32-$D260))*2^$D260+INT($H260/2^(32-$D260))</f>
        <v>3289940020</v>
      </c>
      <c r="J260" s="7">
        <f>$M259</f>
        <v>1684566364</v>
      </c>
      <c r="K260" s="7">
        <f>MOD($K259+$I260,4294967296)</f>
        <v>754761320</v>
      </c>
      <c r="L260" s="7">
        <f>$K259</f>
        <v>1759788596</v>
      </c>
      <c r="M260" s="7">
        <f>$L259</f>
        <v>1132013481</v>
      </c>
    </row>
    <row r="261" spans="1:13">
      <c r="A261" s="7">
        <v>4</v>
      </c>
      <c r="B261" s="7">
        <v>63</v>
      </c>
      <c r="C261" s="7">
        <f>INDEX(Sheet2!$B$2:$B$65,$B261+1)</f>
        <v>3951481745</v>
      </c>
      <c r="D261" s="7">
        <f>INDEX(Sheet2!$C$2:$C$65,$B261+1)</f>
        <v>21</v>
      </c>
      <c r="E261" s="7">
        <f>INDEX(Sheet2!$D$2:$D$65,$B261+1)</f>
        <v>9</v>
      </c>
      <c r="F261" s="7">
        <f>INDEX(Sheet3!$AY$2:$BN$11,$A261,$E261+1)</f>
        <v>0</v>
      </c>
      <c r="G261" s="7">
        <f>IF($B261&lt;16,_xlfn.BITOR(_xlfn.BITAND($K260,$L260),_xlfn.BITAND(4294967295-$K260,$M260)),IF($B261&lt;32,_xlfn.BITOR(_xlfn.BITAND($M260,$K260),_xlfn.BITAND(4294967295-$M260,$L260)),IF($B261&lt;48,_xlfn.BITXOR(_xlfn.BITXOR($K260,$L260),$M260),_xlfn.BITXOR($L260,_xlfn.BITOR($K260,4294967295-$M260)))))</f>
        <v>3558522954</v>
      </c>
      <c r="H261" s="7">
        <f>MOD($G261+$J260+$C261+$F261,4294967296)</f>
        <v>604636471</v>
      </c>
      <c r="I261" s="7">
        <f>MOD($H261,2^(32-$D261))*2^$D261+INT($H261/2^(32-$D261))</f>
        <v>2799993152</v>
      </c>
      <c r="J261" s="7">
        <f>$M260</f>
        <v>1132013481</v>
      </c>
      <c r="K261" s="7">
        <f>MOD($K260+$I261,4294967296)</f>
        <v>3554754472</v>
      </c>
      <c r="L261" s="7">
        <f>$K260</f>
        <v>754761320</v>
      </c>
      <c r="M261" s="7">
        <f>$L260</f>
        <v>1759788596</v>
      </c>
    </row>
    <row r="262" spans="1:13">
      <c r="A262" s="8">
        <v>5</v>
      </c>
      <c r="B262" s="8">
        <v>-1</v>
      </c>
      <c r="J262" s="8">
        <v>1732584193</v>
      </c>
      <c r="K262" s="8">
        <v>4023233417</v>
      </c>
      <c r="L262" s="8">
        <v>2562383102</v>
      </c>
      <c r="M262" s="8">
        <v>271733878</v>
      </c>
    </row>
    <row r="263" spans="1:13">
      <c r="A263" s="7">
        <v>5</v>
      </c>
      <c r="B263" s="7">
        <v>0</v>
      </c>
      <c r="C263" s="7">
        <f>INDEX(Sheet2!$B$2:$B$65,$B263+1)</f>
        <v>3614090360</v>
      </c>
      <c r="D263" s="7">
        <f>INDEX(Sheet2!$C$2:$C$65,$B263+1)</f>
        <v>7</v>
      </c>
      <c r="E263" s="7">
        <f>INDEX(Sheet2!$D$2:$D$65,$B263+1)</f>
        <v>0</v>
      </c>
      <c r="F263" s="7">
        <f>INDEX(Sheet3!$AY$2:$BN$11,$A263,$E263+1)</f>
        <v>1701654643</v>
      </c>
      <c r="G263" s="7">
        <f>IF($B263&lt;16,_xlfn.BITOR(_xlfn.BITAND($K262,$L262),_xlfn.BITAND(4294967295-$K262,$M262)),IF($B263&lt;32,_xlfn.BITOR(_xlfn.BITAND($M262,$K262),_xlfn.BITAND(4294967295-$M262,$L262)),IF($B263&lt;48,_xlfn.BITXOR(_xlfn.BITXOR($K262,$L262),$M262),_xlfn.BITXOR($L262,_xlfn.BITOR($K262,4294967295-$M262)))))</f>
        <v>2562383102</v>
      </c>
      <c r="H263" s="7">
        <f>MOD($G263+$J262+$C263+$F263,4294967296)</f>
        <v>1020777706</v>
      </c>
      <c r="I263" s="7">
        <f>MOD($H263,2^(32-$D263))*2^$D263+INT($H263/2^(32-$D263))</f>
        <v>1810527518</v>
      </c>
      <c r="J263" s="7">
        <f>$M262</f>
        <v>271733878</v>
      </c>
      <c r="K263" s="7">
        <f>MOD($K262+$I263,4294967296)</f>
        <v>1538793639</v>
      </c>
      <c r="L263" s="7">
        <f>$K262</f>
        <v>4023233417</v>
      </c>
      <c r="M263" s="7">
        <f>$L262</f>
        <v>2562383102</v>
      </c>
    </row>
    <row r="264" spans="1:13">
      <c r="A264" s="7">
        <v>5</v>
      </c>
      <c r="B264" s="7">
        <v>1</v>
      </c>
      <c r="C264" s="7">
        <f>INDEX(Sheet2!$B$2:$B$65,$B264+1)</f>
        <v>3905402710</v>
      </c>
      <c r="D264" s="7">
        <f>INDEX(Sheet2!$C$2:$C$65,$B264+1)</f>
        <v>12</v>
      </c>
      <c r="E264" s="7">
        <f>INDEX(Sheet2!$D$2:$D$65,$B264+1)</f>
        <v>1</v>
      </c>
      <c r="F264" s="7">
        <f>INDEX(Sheet3!$AY$2:$BN$11,$A264,$E264+1)</f>
        <v>862876511</v>
      </c>
      <c r="G264" s="7">
        <f>IF($B264&lt;16,_xlfn.BITOR(_xlfn.BITAND($K263,$L263),_xlfn.BITAND(4294967295-$K263,$M263)),IF($B264&lt;32,_xlfn.BITOR(_xlfn.BITAND($M263,$K263),_xlfn.BITAND(4294967295-$M263,$L263)),IF($B264&lt;48,_xlfn.BITXOR(_xlfn.BITXOR($K263,$L263),$M263),_xlfn.BITXOR($L263,_xlfn.BITOR($K263,4294967295-$M263)))))</f>
        <v>3414883545</v>
      </c>
      <c r="H264" s="7">
        <f>MOD($G264+$J263+$C264+$F264,4294967296)</f>
        <v>4159929348</v>
      </c>
      <c r="I264" s="7">
        <f>MOD($H264,2^(32-$D264))*2^$D264+INT($H264/2^(32-$D264))</f>
        <v>935350143</v>
      </c>
      <c r="J264" s="7">
        <f>$M263</f>
        <v>2562383102</v>
      </c>
      <c r="K264" s="7">
        <f>MOD($K263+$I264,4294967296)</f>
        <v>2474143782</v>
      </c>
      <c r="L264" s="7">
        <f>$K263</f>
        <v>1538793639</v>
      </c>
      <c r="M264" s="7">
        <f>$L263</f>
        <v>4023233417</v>
      </c>
    </row>
    <row r="265" spans="1:13">
      <c r="A265" s="7">
        <v>5</v>
      </c>
      <c r="B265" s="7">
        <v>2</v>
      </c>
      <c r="C265" s="7">
        <f>INDEX(Sheet2!$B$2:$B$65,$B265+1)</f>
        <v>606105819</v>
      </c>
      <c r="D265" s="7">
        <f>INDEX(Sheet2!$C$2:$C$65,$B265+1)</f>
        <v>17</v>
      </c>
      <c r="E265" s="7">
        <f>INDEX(Sheet2!$D$2:$D$65,$B265+1)</f>
        <v>2</v>
      </c>
      <c r="F265" s="7">
        <f>INDEX(Sheet3!$AY$2:$BN$11,$A265,$E265+1)</f>
        <v>1601792820</v>
      </c>
      <c r="G265" s="7">
        <f>IF($B265&lt;16,_xlfn.BITOR(_xlfn.BITAND($K264,$L264),_xlfn.BITAND(4294967295-$K264,$M264)),IF($B265&lt;32,_xlfn.BITOR(_xlfn.BITAND($M264,$K264),_xlfn.BITAND(4294967295-$M264,$L264)),IF($B265&lt;48,_xlfn.BITXOR(_xlfn.BITXOR($K264,$L264),$M264),_xlfn.BITXOR($L264,_xlfn.BITOR($K264,4294967295-$M264)))))</f>
        <v>2143136687</v>
      </c>
      <c r="H265" s="7">
        <f>MOD($G265+$J264+$C265+$F265,4294967296)</f>
        <v>2618451132</v>
      </c>
      <c r="I265" s="7">
        <f>MOD($H265,2^(32-$D265))*2^$D265+INT($H265/2^(32-$D265))</f>
        <v>3380164644</v>
      </c>
      <c r="J265" s="7">
        <f>$M264</f>
        <v>4023233417</v>
      </c>
      <c r="K265" s="7">
        <f>MOD($K264+$I265,4294967296)</f>
        <v>1559341130</v>
      </c>
      <c r="L265" s="7">
        <f>$K264</f>
        <v>2474143782</v>
      </c>
      <c r="M265" s="7">
        <f>$L264</f>
        <v>1538793639</v>
      </c>
    </row>
    <row r="266" spans="1:13">
      <c r="A266" s="7">
        <v>5</v>
      </c>
      <c r="B266" s="7">
        <v>3</v>
      </c>
      <c r="C266" s="7">
        <f>INDEX(Sheet2!$B$2:$B$65,$B266+1)</f>
        <v>3250441966</v>
      </c>
      <c r="D266" s="7">
        <f>INDEX(Sheet2!$C$2:$C$65,$B266+1)</f>
        <v>22</v>
      </c>
      <c r="E266" s="7">
        <f>INDEX(Sheet2!$D$2:$D$65,$B266+1)</f>
        <v>3</v>
      </c>
      <c r="F266" s="7">
        <f>INDEX(Sheet3!$AY$2:$BN$11,$A266,$E266+1)</f>
        <v>1953248371</v>
      </c>
      <c r="G266" s="7">
        <f>IF($B266&lt;16,_xlfn.BITOR(_xlfn.BITAND($K265,$L265),_xlfn.BITAND(4294967295-$K265,$M265)),IF($B266&lt;32,_xlfn.BITOR(_xlfn.BITAND($M265,$K265),_xlfn.BITAND(4294967295-$M265,$L265)),IF($B266&lt;48,_xlfn.BITXOR(_xlfn.BITXOR($K265,$L265),$M265),_xlfn.BITXOR($L265,_xlfn.BITOR($K265,4294967295-$M265)))))</f>
        <v>326639783</v>
      </c>
      <c r="H266" s="7">
        <f>MOD($G266+$J265+$C266+$F266,4294967296)</f>
        <v>963628945</v>
      </c>
      <c r="I266" s="7">
        <f>MOD($H266,2^(32-$D266))*2^$D266+INT($H266/2^(32-$D266))</f>
        <v>3830340595</v>
      </c>
      <c r="J266" s="7">
        <f>$M265</f>
        <v>1538793639</v>
      </c>
      <c r="K266" s="7">
        <f>MOD($K265+$I266,4294967296)</f>
        <v>1094714429</v>
      </c>
      <c r="L266" s="7">
        <f>$K265</f>
        <v>1559341130</v>
      </c>
      <c r="M266" s="7">
        <f>$L265</f>
        <v>2474143782</v>
      </c>
    </row>
    <row r="267" spans="1:13">
      <c r="A267" s="7">
        <v>5</v>
      </c>
      <c r="B267" s="7">
        <v>4</v>
      </c>
      <c r="C267" s="7">
        <f>INDEX(Sheet2!$B$2:$B$65,$B267+1)</f>
        <v>4118548399</v>
      </c>
      <c r="D267" s="7">
        <f>INDEX(Sheet2!$C$2:$C$65,$B267+1)</f>
        <v>7</v>
      </c>
      <c r="E267" s="7">
        <f>INDEX(Sheet2!$D$2:$D$65,$B267+1)</f>
        <v>4</v>
      </c>
      <c r="F267" s="7">
        <f>INDEX(Sheet3!$AY$2:$BN$11,$A267,$E267+1)</f>
        <v>2151628607</v>
      </c>
      <c r="G267" s="7">
        <f>IF($B267&lt;16,_xlfn.BITOR(_xlfn.BITAND($K266,$L266),_xlfn.BITAND(4294967295-$K266,$M266)),IF($B267&lt;32,_xlfn.BITOR(_xlfn.BITAND($M266,$K266),_xlfn.BITAND(4294967295-$M266,$L266)),IF($B267&lt;48,_xlfn.BITXOR(_xlfn.BITXOR($K266,$L266),$M266),_xlfn.BITXOR($L266,_xlfn.BITOR($K266,4294967295-$M266)))))</f>
        <v>3531108362</v>
      </c>
      <c r="H267" s="7">
        <f>MOD($G267+$J266+$C267+$F267,4294967296)</f>
        <v>2750144415</v>
      </c>
      <c r="I267" s="7">
        <f>MOD($H267,2^(32-$D267))*2^$D267+INT($H267/2^(32-$D267))</f>
        <v>4126134225</v>
      </c>
      <c r="J267" s="7">
        <f>$M266</f>
        <v>2474143782</v>
      </c>
      <c r="K267" s="7">
        <f>MOD($K266+$I267,4294967296)</f>
        <v>925881358</v>
      </c>
      <c r="L267" s="7">
        <f>$K266</f>
        <v>1094714429</v>
      </c>
      <c r="M267" s="7">
        <f>$L266</f>
        <v>1559341130</v>
      </c>
    </row>
    <row r="268" spans="1:13">
      <c r="A268" s="7">
        <v>5</v>
      </c>
      <c r="B268" s="7">
        <v>5</v>
      </c>
      <c r="C268" s="7">
        <f>INDEX(Sheet2!$B$2:$B$65,$B268+1)</f>
        <v>1200080426</v>
      </c>
      <c r="D268" s="7">
        <f>INDEX(Sheet2!$C$2:$C$65,$B268+1)</f>
        <v>12</v>
      </c>
      <c r="E268" s="7">
        <f>INDEX(Sheet2!$D$2:$D$65,$B268+1)</f>
        <v>5</v>
      </c>
      <c r="F268" s="7">
        <f>INDEX(Sheet3!$AY$2:$BN$11,$A268,$E268+1)</f>
        <v>0</v>
      </c>
      <c r="G268" s="7">
        <f>IF($B268&lt;16,_xlfn.BITOR(_xlfn.BITAND($K267,$L267),_xlfn.BITAND(4294967295-$K267,$M267)),IF($B268&lt;32,_xlfn.BITOR(_xlfn.BITAND($M267,$K267),_xlfn.BITAND(4294967295-$M267,$L267)),IF($B268&lt;48,_xlfn.BITXOR(_xlfn.BITXOR($K267,$L267),$M267),_xlfn.BITXOR($L267,_xlfn.BITOR($K267,4294967295-$M267)))))</f>
        <v>1238379596</v>
      </c>
      <c r="H268" s="7">
        <f>MOD($G268+$J267+$C268+$F268,4294967296)</f>
        <v>617636508</v>
      </c>
      <c r="I268" s="7">
        <f>MOD($H268,2^(32-$D268))*2^$D268+INT($H268/2^(32-$D268))</f>
        <v>103400013</v>
      </c>
      <c r="J268" s="7">
        <f>$M267</f>
        <v>1559341130</v>
      </c>
      <c r="K268" s="7">
        <f>MOD($K267+$I268,4294967296)</f>
        <v>1029281371</v>
      </c>
      <c r="L268" s="7">
        <f>$K267</f>
        <v>925881358</v>
      </c>
      <c r="M268" s="7">
        <f>$L267</f>
        <v>1094714429</v>
      </c>
    </row>
    <row r="269" spans="1:13">
      <c r="A269" s="7">
        <v>5</v>
      </c>
      <c r="B269" s="7">
        <v>6</v>
      </c>
      <c r="C269" s="7">
        <f>INDEX(Sheet2!$B$2:$B$65,$B269+1)</f>
        <v>2821735955</v>
      </c>
      <c r="D269" s="7">
        <f>INDEX(Sheet2!$C$2:$C$65,$B269+1)</f>
        <v>17</v>
      </c>
      <c r="E269" s="7">
        <f>INDEX(Sheet2!$D$2:$D$65,$B269+1)</f>
        <v>6</v>
      </c>
      <c r="F269" s="7">
        <f>INDEX(Sheet3!$AY$2:$BN$11,$A269,$E269+1)</f>
        <v>0</v>
      </c>
      <c r="G269" s="7">
        <f>IF($B269&lt;16,_xlfn.BITOR(_xlfn.BITAND($K268,$L268),_xlfn.BITAND(4294967295-$K268,$M268)),IF($B269&lt;32,_xlfn.BITOR(_xlfn.BITAND($M268,$K268),_xlfn.BITAND(4294967295-$M268,$L268)),IF($B269&lt;48,_xlfn.BITXOR(_xlfn.BITXOR($K268,$L268),$M268),_xlfn.BITXOR($L268,_xlfn.BITOR($K268,4294967295-$M268)))))</f>
        <v>1963562030</v>
      </c>
      <c r="H269" s="7">
        <f>MOD($G269+$J268+$C269+$F269,4294967296)</f>
        <v>2049671819</v>
      </c>
      <c r="I269" s="7">
        <f>MOD($H269,2^(32-$D269))*2^$D269+INT($H269/2^(32-$D269))</f>
        <v>85390423</v>
      </c>
      <c r="J269" s="7">
        <f>$M268</f>
        <v>1094714429</v>
      </c>
      <c r="K269" s="7">
        <f>MOD($K268+$I269,4294967296)</f>
        <v>1114671794</v>
      </c>
      <c r="L269" s="7">
        <f>$K268</f>
        <v>1029281371</v>
      </c>
      <c r="M269" s="7">
        <f>$L268</f>
        <v>925881358</v>
      </c>
    </row>
    <row r="270" spans="1:13">
      <c r="A270" s="7">
        <v>5</v>
      </c>
      <c r="B270" s="7">
        <v>7</v>
      </c>
      <c r="C270" s="7">
        <f>INDEX(Sheet2!$B$2:$B$65,$B270+1)</f>
        <v>4249261313</v>
      </c>
      <c r="D270" s="7">
        <f>INDEX(Sheet2!$C$2:$C$65,$B270+1)</f>
        <v>22</v>
      </c>
      <c r="E270" s="7">
        <f>INDEX(Sheet2!$D$2:$D$65,$B270+1)</f>
        <v>7</v>
      </c>
      <c r="F270" s="7">
        <f>INDEX(Sheet3!$AY$2:$BN$11,$A270,$E270+1)</f>
        <v>0</v>
      </c>
      <c r="G270" s="7">
        <f>IF($B270&lt;16,_xlfn.BITOR(_xlfn.BITAND($K269,$L269),_xlfn.BITAND(4294967295-$K269,$M269)),IF($B270&lt;32,_xlfn.BITOR(_xlfn.BITAND($M269,$K269),_xlfn.BITAND(4294967295-$M269,$L269)),IF($B270&lt;48,_xlfn.BITXOR(_xlfn.BITXOR($K269,$L269),$M269),_xlfn.BITXOR($L269,_xlfn.BITOR($K269,4294967295-$M269)))))</f>
        <v>895473182</v>
      </c>
      <c r="H270" s="7">
        <f>MOD($G270+$J269+$C270+$F270,4294967296)</f>
        <v>1944481628</v>
      </c>
      <c r="I270" s="7">
        <f>MOD($H270,2^(32-$D270))*2^$D270+INT($H270/2^(32-$D270))</f>
        <v>3609000347</v>
      </c>
      <c r="J270" s="7">
        <f>$M269</f>
        <v>925881358</v>
      </c>
      <c r="K270" s="7">
        <f>MOD($K269+$I270,4294967296)</f>
        <v>428704845</v>
      </c>
      <c r="L270" s="7">
        <f>$K269</f>
        <v>1114671794</v>
      </c>
      <c r="M270" s="7">
        <f>$L269</f>
        <v>1029281371</v>
      </c>
    </row>
    <row r="271" spans="1:13">
      <c r="A271" s="7">
        <v>5</v>
      </c>
      <c r="B271" s="7">
        <v>8</v>
      </c>
      <c r="C271" s="7">
        <f>INDEX(Sheet2!$B$2:$B$65,$B271+1)</f>
        <v>1770035416</v>
      </c>
      <c r="D271" s="7">
        <f>INDEX(Sheet2!$C$2:$C$65,$B271+1)</f>
        <v>7</v>
      </c>
      <c r="E271" s="7">
        <f>INDEX(Sheet2!$D$2:$D$65,$B271+1)</f>
        <v>8</v>
      </c>
      <c r="F271" s="7">
        <f>INDEX(Sheet3!$AY$2:$BN$11,$A271,$E271+1)</f>
        <v>0</v>
      </c>
      <c r="G271" s="7">
        <f>IF($B271&lt;16,_xlfn.BITOR(_xlfn.BITAND($K270,$L270),_xlfn.BITAND(4294967295-$K270,$M270)),IF($B271&lt;32,_xlfn.BITOR(_xlfn.BITAND($M270,$K270),_xlfn.BITAND(4294967295-$M270,$L270)),IF($B271&lt;48,_xlfn.BITXOR(_xlfn.BITXOR($K270,$L270),$M270),_xlfn.BITXOR($L270,_xlfn.BITOR($K270,4294967295-$M270)))))</f>
        <v>609260050</v>
      </c>
      <c r="H271" s="7">
        <f>MOD($G271+$J270+$C271+$F271,4294967296)</f>
        <v>3305176824</v>
      </c>
      <c r="I271" s="7">
        <f>MOD($H271,2^(32-$D271))*2^$D271+INT($H271/2^(32-$D271))</f>
        <v>2155838562</v>
      </c>
      <c r="J271" s="7">
        <f>$M270</f>
        <v>1029281371</v>
      </c>
      <c r="K271" s="7">
        <f>MOD($K270+$I271,4294967296)</f>
        <v>2584543407</v>
      </c>
      <c r="L271" s="7">
        <f>$K270</f>
        <v>428704845</v>
      </c>
      <c r="M271" s="7">
        <f>$L270</f>
        <v>1114671794</v>
      </c>
    </row>
    <row r="272" spans="1:13">
      <c r="A272" s="7">
        <v>5</v>
      </c>
      <c r="B272" s="7">
        <v>9</v>
      </c>
      <c r="C272" s="7">
        <f>INDEX(Sheet2!$B$2:$B$65,$B272+1)</f>
        <v>2336552879</v>
      </c>
      <c r="D272" s="7">
        <f>INDEX(Sheet2!$C$2:$C$65,$B272+1)</f>
        <v>12</v>
      </c>
      <c r="E272" s="7">
        <f>INDEX(Sheet2!$D$2:$D$65,$B272+1)</f>
        <v>9</v>
      </c>
      <c r="F272" s="7">
        <f>INDEX(Sheet3!$AY$2:$BN$11,$A272,$E272+1)</f>
        <v>0</v>
      </c>
      <c r="G272" s="7">
        <f>IF($B272&lt;16,_xlfn.BITOR(_xlfn.BITAND($K271,$L271),_xlfn.BITAND(4294967295-$K271,$M271)),IF($B272&lt;32,_xlfn.BITOR(_xlfn.BITAND($M271,$K271),_xlfn.BITAND(4294967295-$M271,$L271)),IF($B272&lt;48,_xlfn.BITXOR(_xlfn.BITXOR($K271,$L271),$M271),_xlfn.BITXOR($L271,_xlfn.BITOR($K271,4294967295-$M271)))))</f>
        <v>1484622365</v>
      </c>
      <c r="H272" s="7">
        <f>MOD($G272+$J271+$C272+$F272,4294967296)</f>
        <v>555489319</v>
      </c>
      <c r="I272" s="7">
        <f>MOD($H272,2^(32-$D272))*2^$D272+INT($H272/2^(32-$D272))</f>
        <v>3246551569</v>
      </c>
      <c r="J272" s="7">
        <f>$M271</f>
        <v>1114671794</v>
      </c>
      <c r="K272" s="7">
        <f>MOD($K271+$I272,4294967296)</f>
        <v>1536127680</v>
      </c>
      <c r="L272" s="7">
        <f>$K271</f>
        <v>2584543407</v>
      </c>
      <c r="M272" s="7">
        <f>$L271</f>
        <v>428704845</v>
      </c>
    </row>
    <row r="273" spans="1:13">
      <c r="A273" s="7">
        <v>5</v>
      </c>
      <c r="B273" s="7">
        <v>10</v>
      </c>
      <c r="C273" s="7">
        <f>INDEX(Sheet2!$B$2:$B$65,$B273+1)</f>
        <v>4294925233</v>
      </c>
      <c r="D273" s="7">
        <f>INDEX(Sheet2!$C$2:$C$65,$B273+1)</f>
        <v>17</v>
      </c>
      <c r="E273" s="7">
        <f>INDEX(Sheet2!$D$2:$D$65,$B273+1)</f>
        <v>10</v>
      </c>
      <c r="F273" s="7">
        <f>INDEX(Sheet3!$AY$2:$BN$11,$A273,$E273+1)</f>
        <v>0</v>
      </c>
      <c r="G273" s="7">
        <f>IF($B273&lt;16,_xlfn.BITOR(_xlfn.BITAND($K272,$L272),_xlfn.BITAND(4294967295-$K272,$M272)),IF($B273&lt;32,_xlfn.BITOR(_xlfn.BITAND($M272,$K272),_xlfn.BITAND(4294967295-$M272,$L272)),IF($B273&lt;48,_xlfn.BITXOR(_xlfn.BITXOR($K272,$L272),$M272),_xlfn.BITXOR($L272,_xlfn.BITOR($K272,4294967295-$M272)))))</f>
        <v>437093517</v>
      </c>
      <c r="H273" s="7">
        <f>MOD($G273+$J272+$C273+$F273,4294967296)</f>
        <v>1551723248</v>
      </c>
      <c r="I273" s="7">
        <f>MOD($H273,2^(32-$D273))*2^$D273+INT($H273/2^(32-$D273))</f>
        <v>3588274426</v>
      </c>
      <c r="J273" s="7">
        <f>$M272</f>
        <v>428704845</v>
      </c>
      <c r="K273" s="7">
        <f>MOD($K272+$I273,4294967296)</f>
        <v>829434810</v>
      </c>
      <c r="L273" s="7">
        <f>$K272</f>
        <v>1536127680</v>
      </c>
      <c r="M273" s="7">
        <f>$L272</f>
        <v>2584543407</v>
      </c>
    </row>
    <row r="274" spans="1:13">
      <c r="A274" s="7">
        <v>5</v>
      </c>
      <c r="B274" s="7">
        <v>11</v>
      </c>
      <c r="C274" s="7">
        <f>INDEX(Sheet2!$B$2:$B$65,$B274+1)</f>
        <v>2304563134</v>
      </c>
      <c r="D274" s="7">
        <f>INDEX(Sheet2!$C$2:$C$65,$B274+1)</f>
        <v>22</v>
      </c>
      <c r="E274" s="7">
        <f>INDEX(Sheet2!$D$2:$D$65,$B274+1)</f>
        <v>11</v>
      </c>
      <c r="F274" s="7">
        <f>INDEX(Sheet3!$AY$2:$BN$11,$A274,$E274+1)</f>
        <v>0</v>
      </c>
      <c r="G274" s="7">
        <f>IF($B274&lt;16,_xlfn.BITOR(_xlfn.BITAND($K273,$L273),_xlfn.BITAND(4294967295-$K273,$M273)),IF($B274&lt;32,_xlfn.BITOR(_xlfn.BITAND($M273,$K273),_xlfn.BITAND(4294967295-$M273,$L273)),IF($B274&lt;48,_xlfn.BITXOR(_xlfn.BITXOR($K273,$L273),$M273),_xlfn.BITXOR($L273,_xlfn.BITOR($K273,4294967295-$M273)))))</f>
        <v>2601329285</v>
      </c>
      <c r="H274" s="7">
        <f>MOD($G274+$J273+$C274+$F274,4294967296)</f>
        <v>1039629968</v>
      </c>
      <c r="I274" s="7">
        <f>MOD($H274,2^(32-$D274))*2^$D274+INT($H274/2^(32-$D274))</f>
        <v>2752478687</v>
      </c>
      <c r="J274" s="7">
        <f>$M273</f>
        <v>2584543407</v>
      </c>
      <c r="K274" s="7">
        <f>MOD($K273+$I274,4294967296)</f>
        <v>3581913497</v>
      </c>
      <c r="L274" s="7">
        <f>$K273</f>
        <v>829434810</v>
      </c>
      <c r="M274" s="7">
        <f>$L273</f>
        <v>1536127680</v>
      </c>
    </row>
    <row r="275" spans="1:13">
      <c r="A275" s="7">
        <v>5</v>
      </c>
      <c r="B275" s="7">
        <v>12</v>
      </c>
      <c r="C275" s="7">
        <f>INDEX(Sheet2!$B$2:$B$65,$B275+1)</f>
        <v>1804603682</v>
      </c>
      <c r="D275" s="7">
        <f>INDEX(Sheet2!$C$2:$C$65,$B275+1)</f>
        <v>7</v>
      </c>
      <c r="E275" s="7">
        <f>INDEX(Sheet2!$D$2:$D$65,$B275+1)</f>
        <v>12</v>
      </c>
      <c r="F275" s="7">
        <f>INDEX(Sheet3!$AY$2:$BN$11,$A275,$E275+1)</f>
        <v>0</v>
      </c>
      <c r="G275" s="7">
        <f>IF($B275&lt;16,_xlfn.BITOR(_xlfn.BITAND($K274,$L274),_xlfn.BITAND(4294967295-$K274,$M274)),IF($B275&lt;32,_xlfn.BITOR(_xlfn.BITAND($M274,$K274),_xlfn.BITAND(4294967295-$M274,$L274)),IF($B275&lt;48,_xlfn.BITXOR(_xlfn.BITXOR($K274,$L274),$M274),_xlfn.BITXOR($L274,_xlfn.BITOR($K274,4294967295-$M274)))))</f>
        <v>468745176</v>
      </c>
      <c r="H275" s="7">
        <f>MOD($G275+$J274+$C275+$F275,4294967296)</f>
        <v>562924969</v>
      </c>
      <c r="I275" s="7">
        <f>MOD($H275,2^(32-$D275))*2^$D275+INT($H275/2^(32-$D275))</f>
        <v>3334919312</v>
      </c>
      <c r="J275" s="7">
        <f>$M274</f>
        <v>1536127680</v>
      </c>
      <c r="K275" s="7">
        <f>MOD($K274+$I275,4294967296)</f>
        <v>2621865513</v>
      </c>
      <c r="L275" s="7">
        <f>$K274</f>
        <v>3581913497</v>
      </c>
      <c r="M275" s="7">
        <f>$L274</f>
        <v>829434810</v>
      </c>
    </row>
    <row r="276" spans="1:13">
      <c r="A276" s="7">
        <v>5</v>
      </c>
      <c r="B276" s="7">
        <v>13</v>
      </c>
      <c r="C276" s="7">
        <f>INDEX(Sheet2!$B$2:$B$65,$B276+1)</f>
        <v>4254626195</v>
      </c>
      <c r="D276" s="7">
        <f>INDEX(Sheet2!$C$2:$C$65,$B276+1)</f>
        <v>12</v>
      </c>
      <c r="E276" s="7">
        <f>INDEX(Sheet2!$D$2:$D$65,$B276+1)</f>
        <v>13</v>
      </c>
      <c r="F276" s="7">
        <f>INDEX(Sheet3!$AY$2:$BN$11,$A276,$E276+1)</f>
        <v>0</v>
      </c>
      <c r="G276" s="7">
        <f>IF($B276&lt;16,_xlfn.BITOR(_xlfn.BITAND($K275,$L275),_xlfn.BITAND(4294967295-$K275,$M275)),IF($B276&lt;32,_xlfn.BITOR(_xlfn.BITAND($M275,$K275),_xlfn.BITAND(4294967295-$M275,$L275)),IF($B276&lt;48,_xlfn.BITXOR(_xlfn.BITXOR($K275,$L275),$M275),_xlfn.BITXOR($L275,_xlfn.BITOR($K275,4294967295-$M275)))))</f>
        <v>3044419995</v>
      </c>
      <c r="H276" s="7">
        <f>MOD($G276+$J275+$C276+$F276,4294967296)</f>
        <v>245239278</v>
      </c>
      <c r="I276" s="7">
        <f>MOD($H276,2^(32-$D276))*2^$D276+INT($H276/2^(32-$D276))</f>
        <v>3772702953</v>
      </c>
      <c r="J276" s="7">
        <f>$M275</f>
        <v>829434810</v>
      </c>
      <c r="K276" s="7">
        <f>MOD($K275+$I276,4294967296)</f>
        <v>2099601170</v>
      </c>
      <c r="L276" s="7">
        <f>$K275</f>
        <v>2621865513</v>
      </c>
      <c r="M276" s="7">
        <f>$L275</f>
        <v>3581913497</v>
      </c>
    </row>
    <row r="277" spans="1:13">
      <c r="A277" s="7">
        <v>5</v>
      </c>
      <c r="B277" s="7">
        <v>14</v>
      </c>
      <c r="C277" s="7">
        <f>INDEX(Sheet2!$B$2:$B$65,$B277+1)</f>
        <v>2792965006</v>
      </c>
      <c r="D277" s="7">
        <f>INDEX(Sheet2!$C$2:$C$65,$B277+1)</f>
        <v>17</v>
      </c>
      <c r="E277" s="7">
        <f>INDEX(Sheet2!$D$2:$D$65,$B277+1)</f>
        <v>14</v>
      </c>
      <c r="F277" s="7">
        <f>INDEX(Sheet3!$AY$2:$BN$11,$A277,$E277+1)</f>
        <v>152</v>
      </c>
      <c r="G277" s="7">
        <f>IF($B277&lt;16,_xlfn.BITOR(_xlfn.BITAND($K276,$L276),_xlfn.BITAND(4294967295-$K276,$M276)),IF($B277&lt;32,_xlfn.BITOR(_xlfn.BITAND($M276,$K276),_xlfn.BITAND(4294967295-$M276,$L276)),IF($B277&lt;48,_xlfn.BITXOR(_xlfn.BITXOR($K276,$L276),$M276),_xlfn.BITXOR($L276,_xlfn.BITOR($K276,4294967295-$M276)))))</f>
        <v>2623471241</v>
      </c>
      <c r="H277" s="7">
        <f>MOD($G277+$J276+$C277+$F277,4294967296)</f>
        <v>1950903913</v>
      </c>
      <c r="I277" s="7">
        <f>MOD($H277,2^(32-$D277))*2^$D277+INT($H277/2^(32-$D277))</f>
        <v>3704809616</v>
      </c>
      <c r="J277" s="7">
        <f>$M276</f>
        <v>3581913497</v>
      </c>
      <c r="K277" s="7">
        <f>MOD($K276+$I277,4294967296)</f>
        <v>1509443490</v>
      </c>
      <c r="L277" s="7">
        <f>$K276</f>
        <v>2099601170</v>
      </c>
      <c r="M277" s="7">
        <f>$L276</f>
        <v>2621865513</v>
      </c>
    </row>
    <row r="278" spans="1:13">
      <c r="A278" s="7">
        <v>5</v>
      </c>
      <c r="B278" s="7">
        <v>15</v>
      </c>
      <c r="C278" s="7">
        <f>INDEX(Sheet2!$B$2:$B$65,$B278+1)</f>
        <v>1236535329</v>
      </c>
      <c r="D278" s="7">
        <f>INDEX(Sheet2!$C$2:$C$65,$B278+1)</f>
        <v>22</v>
      </c>
      <c r="E278" s="7">
        <f>INDEX(Sheet2!$D$2:$D$65,$B278+1)</f>
        <v>15</v>
      </c>
      <c r="F278" s="7">
        <f>INDEX(Sheet3!$AY$2:$BN$11,$A278,$E278+1)</f>
        <v>0</v>
      </c>
      <c r="G278" s="7">
        <f>IF($B278&lt;16,_xlfn.BITOR(_xlfn.BITAND($K277,$L277),_xlfn.BITAND(4294967295-$K277,$M277)),IF($B278&lt;32,_xlfn.BITOR(_xlfn.BITAND($M277,$K277),_xlfn.BITAND(4294967295-$M277,$L277)),IF($B278&lt;48,_xlfn.BITXOR(_xlfn.BITXOR($K277,$L277),$M277),_xlfn.BITXOR($L277,_xlfn.BITOR($K277,4294967295-$M277)))))</f>
        <v>3710287627</v>
      </c>
      <c r="H278" s="7">
        <f>MOD($G278+$J277+$C278+$F278,4294967296)</f>
        <v>4233769157</v>
      </c>
      <c r="I278" s="7">
        <f>MOD($H278,2^(32-$D278))*2^$D278+INT($H278/2^(32-$D278))</f>
        <v>830412428</v>
      </c>
      <c r="J278" s="7">
        <f>$M277</f>
        <v>2621865513</v>
      </c>
      <c r="K278" s="7">
        <f>MOD($K277+$I278,4294967296)</f>
        <v>2339855918</v>
      </c>
      <c r="L278" s="7">
        <f>$K277</f>
        <v>1509443490</v>
      </c>
      <c r="M278" s="7">
        <f>$L277</f>
        <v>2099601170</v>
      </c>
    </row>
    <row r="279" spans="1:13">
      <c r="A279" s="7">
        <v>5</v>
      </c>
      <c r="B279" s="7">
        <v>16</v>
      </c>
      <c r="C279" s="7">
        <f>INDEX(Sheet2!$B$2:$B$65,$B279+1)</f>
        <v>4129170786</v>
      </c>
      <c r="D279" s="7">
        <f>INDEX(Sheet2!$C$2:$C$65,$B279+1)</f>
        <v>5</v>
      </c>
      <c r="E279" s="7">
        <f>INDEX(Sheet2!$D$2:$D$65,$B279+1)</f>
        <v>1</v>
      </c>
      <c r="F279" s="7">
        <f>INDEX(Sheet3!$AY$2:$BN$11,$A279,$E279+1)</f>
        <v>862876511</v>
      </c>
      <c r="G279" s="7">
        <f>IF($B279&lt;16,_xlfn.BITOR(_xlfn.BITAND($K278,$L278),_xlfn.BITAND(4294967295-$K278,$M278)),IF($B279&lt;32,_xlfn.BITOR(_xlfn.BITAND($M278,$K278),_xlfn.BITAND(4294967295-$M278,$L278)),IF($B279&lt;48,_xlfn.BITXOR(_xlfn.BITXOR($K278,$L278),$M278),_xlfn.BITXOR($L278,_xlfn.BITOR($K278,4294967295-$M278)))))</f>
        <v>167599778</v>
      </c>
      <c r="H279" s="7">
        <f>MOD($G279+$J278+$C279+$F279,4294967296)</f>
        <v>3486545292</v>
      </c>
      <c r="I279" s="7">
        <f>MOD($H279,2^(32-$D279))*2^$D279+INT($H279/2^(32-$D279))</f>
        <v>4195266969</v>
      </c>
      <c r="J279" s="7">
        <f>$M278</f>
        <v>2099601170</v>
      </c>
      <c r="K279" s="7">
        <f>MOD($K278+$I279,4294967296)</f>
        <v>2240155591</v>
      </c>
      <c r="L279" s="7">
        <f>$K278</f>
        <v>2339855918</v>
      </c>
      <c r="M279" s="7">
        <f>$L278</f>
        <v>1509443490</v>
      </c>
    </row>
    <row r="280" spans="1:13">
      <c r="A280" s="7">
        <v>5</v>
      </c>
      <c r="B280" s="7">
        <v>17</v>
      </c>
      <c r="C280" s="7">
        <f>INDEX(Sheet2!$B$2:$B$65,$B280+1)</f>
        <v>3225465664</v>
      </c>
      <c r="D280" s="7">
        <f>INDEX(Sheet2!$C$2:$C$65,$B280+1)</f>
        <v>9</v>
      </c>
      <c r="E280" s="7">
        <f>INDEX(Sheet2!$D$2:$D$65,$B280+1)</f>
        <v>6</v>
      </c>
      <c r="F280" s="7">
        <f>INDEX(Sheet3!$AY$2:$BN$11,$A280,$E280+1)</f>
        <v>0</v>
      </c>
      <c r="G280" s="7">
        <f>IF($B280&lt;16,_xlfn.BITOR(_xlfn.BITAND($K279,$L279),_xlfn.BITAND(4294967295-$K279,$M279)),IF($B280&lt;32,_xlfn.BITOR(_xlfn.BITAND($M279,$K279),_xlfn.BITAND(4294967295-$M279,$L279)),IF($B280&lt;48,_xlfn.BITXOR(_xlfn.BITXOR($K279,$L279),$M279),_xlfn.BITXOR($L279,_xlfn.BITOR($K279,4294967295-$M279)))))</f>
        <v>2206670734</v>
      </c>
      <c r="H280" s="7">
        <f>MOD($G280+$J279+$C280+$F280,4294967296)</f>
        <v>3236770272</v>
      </c>
      <c r="I280" s="7">
        <f>MOD($H280,2^(32-$D280))*2^$D280+INT($H280/2^(32-$D280))</f>
        <v>3663970689</v>
      </c>
      <c r="J280" s="7">
        <f>$M279</f>
        <v>1509443490</v>
      </c>
      <c r="K280" s="7">
        <f>MOD($K279+$I280,4294967296)</f>
        <v>1609158984</v>
      </c>
      <c r="L280" s="7">
        <f>$K279</f>
        <v>2240155591</v>
      </c>
      <c r="M280" s="7">
        <f>$L279</f>
        <v>2339855918</v>
      </c>
    </row>
    <row r="281" spans="1:13">
      <c r="A281" s="7">
        <v>5</v>
      </c>
      <c r="B281" s="7">
        <v>18</v>
      </c>
      <c r="C281" s="7">
        <f>INDEX(Sheet2!$B$2:$B$65,$B281+1)</f>
        <v>643717713</v>
      </c>
      <c r="D281" s="7">
        <f>INDEX(Sheet2!$C$2:$C$65,$B281+1)</f>
        <v>14</v>
      </c>
      <c r="E281" s="7">
        <f>INDEX(Sheet2!$D$2:$D$65,$B281+1)</f>
        <v>11</v>
      </c>
      <c r="F281" s="7">
        <f>INDEX(Sheet3!$AY$2:$BN$11,$A281,$E281+1)</f>
        <v>0</v>
      </c>
      <c r="G281" s="7">
        <f>IF($B281&lt;16,_xlfn.BITOR(_xlfn.BITAND($K280,$L280),_xlfn.BITAND(4294967295-$K280,$M280)),IF($B281&lt;32,_xlfn.BITOR(_xlfn.BITAND($M280,$K280),_xlfn.BITAND(4294967295-$M280,$L280)),IF($B281&lt;48,_xlfn.BITXOR(_xlfn.BITXOR($K280,$L280),$M280),_xlfn.BITXOR($L280,_xlfn.BITOR($K280,4294967295-$M280)))))</f>
        <v>266424777</v>
      </c>
      <c r="H281" s="7">
        <f>MOD($G281+$J280+$C281+$F281,4294967296)</f>
        <v>2419585980</v>
      </c>
      <c r="I281" s="7">
        <f>MOD($H281,2^(32-$D281))*2^$D281+INT($H281/2^(32-$D281))</f>
        <v>4243530765</v>
      </c>
      <c r="J281" s="7">
        <f>$M280</f>
        <v>2339855918</v>
      </c>
      <c r="K281" s="7">
        <f>MOD($K280+$I281,4294967296)</f>
        <v>1557722453</v>
      </c>
      <c r="L281" s="7">
        <f>$K280</f>
        <v>1609158984</v>
      </c>
      <c r="M281" s="7">
        <f>$L280</f>
        <v>2240155591</v>
      </c>
    </row>
    <row r="282" spans="1:13">
      <c r="A282" s="7">
        <v>5</v>
      </c>
      <c r="B282" s="7">
        <v>19</v>
      </c>
      <c r="C282" s="7">
        <f>INDEX(Sheet2!$B$2:$B$65,$B282+1)</f>
        <v>3921069994</v>
      </c>
      <c r="D282" s="7">
        <f>INDEX(Sheet2!$C$2:$C$65,$B282+1)</f>
        <v>20</v>
      </c>
      <c r="E282" s="7">
        <f>INDEX(Sheet2!$D$2:$D$65,$B282+1)</f>
        <v>0</v>
      </c>
      <c r="F282" s="7">
        <f>INDEX(Sheet3!$AY$2:$BN$11,$A282,$E282+1)</f>
        <v>1701654643</v>
      </c>
      <c r="G282" s="7">
        <f>IF($B282&lt;16,_xlfn.BITOR(_xlfn.BITAND($K281,$L281),_xlfn.BITAND(4294967295-$K281,$M281)),IF($B282&lt;32,_xlfn.BITOR(_xlfn.BITAND($M281,$K281),_xlfn.BITAND(4294967295-$M281,$L281)),IF($B282&lt;48,_xlfn.BITXOR(_xlfn.BITXOR($K281,$L281),$M281),_xlfn.BITXOR($L281,_xlfn.BITOR($K281,4294967295-$M281)))))</f>
        <v>1592382797</v>
      </c>
      <c r="H282" s="7">
        <f>MOD($G282+$J281+$C282+$F282,4294967296)</f>
        <v>965028760</v>
      </c>
      <c r="I282" s="7">
        <f>MOD($H282,2^(32-$D282))*2^$D282+INT($H282/2^(32-$D282))</f>
        <v>3112409170</v>
      </c>
      <c r="J282" s="7">
        <f>$M281</f>
        <v>2240155591</v>
      </c>
      <c r="K282" s="7">
        <f>MOD($K281+$I282,4294967296)</f>
        <v>375164327</v>
      </c>
      <c r="L282" s="7">
        <f>$K281</f>
        <v>1557722453</v>
      </c>
      <c r="M282" s="7">
        <f>$L281</f>
        <v>1609158984</v>
      </c>
    </row>
    <row r="283" spans="1:13">
      <c r="A283" s="7">
        <v>5</v>
      </c>
      <c r="B283" s="7">
        <v>20</v>
      </c>
      <c r="C283" s="7">
        <f>INDEX(Sheet2!$B$2:$B$65,$B283+1)</f>
        <v>3593408605</v>
      </c>
      <c r="D283" s="7">
        <f>INDEX(Sheet2!$C$2:$C$65,$B283+1)</f>
        <v>5</v>
      </c>
      <c r="E283" s="7">
        <f>INDEX(Sheet2!$D$2:$D$65,$B283+1)</f>
        <v>5</v>
      </c>
      <c r="F283" s="7">
        <f>INDEX(Sheet3!$AY$2:$BN$11,$A283,$E283+1)</f>
        <v>0</v>
      </c>
      <c r="G283" s="7">
        <f>IF($B283&lt;16,_xlfn.BITOR(_xlfn.BITAND($K282,$L282),_xlfn.BITAND(4294967295-$K282,$M282)),IF($B283&lt;32,_xlfn.BITOR(_xlfn.BITAND($M282,$K282),_xlfn.BITAND(4294967295-$M282,$L282)),IF($B283&lt;48,_xlfn.BITXOR(_xlfn.BITXOR($K282,$L282),$M282),_xlfn.BITXOR($L282,_xlfn.BITOR($K282,4294967295-$M282)))))</f>
        <v>374908181</v>
      </c>
      <c r="H283" s="7">
        <f>MOD($G283+$J282+$C283+$F283,4294967296)</f>
        <v>1913505081</v>
      </c>
      <c r="I283" s="7">
        <f>MOD($H283,2^(32-$D283))*2^$D283+INT($H283/2^(32-$D283))</f>
        <v>1102620462</v>
      </c>
      <c r="J283" s="7">
        <f>$M282</f>
        <v>1609158984</v>
      </c>
      <c r="K283" s="7">
        <f>MOD($K282+$I283,4294967296)</f>
        <v>1477784789</v>
      </c>
      <c r="L283" s="7">
        <f>$K282</f>
        <v>375164327</v>
      </c>
      <c r="M283" s="7">
        <f>$L282</f>
        <v>1557722453</v>
      </c>
    </row>
    <row r="284" spans="1:13">
      <c r="A284" s="7">
        <v>5</v>
      </c>
      <c r="B284" s="7">
        <v>21</v>
      </c>
      <c r="C284" s="7">
        <f>INDEX(Sheet2!$B$2:$B$65,$B284+1)</f>
        <v>38016083</v>
      </c>
      <c r="D284" s="7">
        <f>INDEX(Sheet2!$C$2:$C$65,$B284+1)</f>
        <v>9</v>
      </c>
      <c r="E284" s="7">
        <f>INDEX(Sheet2!$D$2:$D$65,$B284+1)</f>
        <v>10</v>
      </c>
      <c r="F284" s="7">
        <f>INDEX(Sheet3!$AY$2:$BN$11,$A284,$E284+1)</f>
        <v>0</v>
      </c>
      <c r="G284" s="7">
        <f>IF($B284&lt;16,_xlfn.BITOR(_xlfn.BITAND($K283,$L283),_xlfn.BITAND(4294967295-$K283,$M283)),IF($B284&lt;32,_xlfn.BITOR(_xlfn.BITAND($M283,$K283),_xlfn.BITAND(4294967295-$M283,$L283)),IF($B284&lt;48,_xlfn.BITXOR(_xlfn.BITXOR($K283,$L283),$M283),_xlfn.BITXOR($L283,_xlfn.BITOR($K283,4294967295-$M283)))))</f>
        <v>1511275767</v>
      </c>
      <c r="H284" s="7">
        <f>MOD($G284+$J283+$C284+$F284,4294967296)</f>
        <v>3158450834</v>
      </c>
      <c r="I284" s="7">
        <f>MOD($H284,2^(32-$D284))*2^$D284+INT($H284/2^(32-$D284))</f>
        <v>2219124088</v>
      </c>
      <c r="J284" s="7">
        <f>$M283</f>
        <v>1557722453</v>
      </c>
      <c r="K284" s="7">
        <f>MOD($K283+$I284,4294967296)</f>
        <v>3696908877</v>
      </c>
      <c r="L284" s="7">
        <f>$K283</f>
        <v>1477784789</v>
      </c>
      <c r="M284" s="7">
        <f>$L283</f>
        <v>375164327</v>
      </c>
    </row>
    <row r="285" spans="1:13">
      <c r="A285" s="7">
        <v>5</v>
      </c>
      <c r="B285" s="7">
        <v>22</v>
      </c>
      <c r="C285" s="7">
        <f>INDEX(Sheet2!$B$2:$B$65,$B285+1)</f>
        <v>3634488961</v>
      </c>
      <c r="D285" s="7">
        <f>INDEX(Sheet2!$C$2:$C$65,$B285+1)</f>
        <v>14</v>
      </c>
      <c r="E285" s="7">
        <f>INDEX(Sheet2!$D$2:$D$65,$B285+1)</f>
        <v>15</v>
      </c>
      <c r="F285" s="7">
        <f>INDEX(Sheet3!$AY$2:$BN$11,$A285,$E285+1)</f>
        <v>0</v>
      </c>
      <c r="G285" s="7">
        <f>IF($B285&lt;16,_xlfn.BITOR(_xlfn.BITAND($K284,$L284),_xlfn.BITAND(4294967295-$K284,$M284)),IF($B285&lt;32,_xlfn.BITOR(_xlfn.BITAND($M284,$K284),_xlfn.BITAND(4294967295-$M284,$L284)),IF($B285&lt;48,_xlfn.BITXOR(_xlfn.BITXOR($K284,$L284),$M284),_xlfn.BITXOR($L284,_xlfn.BITOR($K284,4294967295-$M284)))))</f>
        <v>1549350997</v>
      </c>
      <c r="H285" s="7">
        <f>MOD($G285+$J284+$C285+$F285,4294967296)</f>
        <v>2446595115</v>
      </c>
      <c r="I285" s="7">
        <f>MOD($H285,2^(32-$D285))*2^$D285+INT($H285/2^(32-$D285))</f>
        <v>84599925</v>
      </c>
      <c r="J285" s="7">
        <f>$M284</f>
        <v>375164327</v>
      </c>
      <c r="K285" s="7">
        <f>MOD($K284+$I285,4294967296)</f>
        <v>3781508802</v>
      </c>
      <c r="L285" s="7">
        <f>$K284</f>
        <v>3696908877</v>
      </c>
      <c r="M285" s="7">
        <f>$L284</f>
        <v>1477784789</v>
      </c>
    </row>
    <row r="286" spans="1:13">
      <c r="A286" s="7">
        <v>5</v>
      </c>
      <c r="B286" s="7">
        <v>23</v>
      </c>
      <c r="C286" s="7">
        <f>INDEX(Sheet2!$B$2:$B$65,$B286+1)</f>
        <v>3889429448</v>
      </c>
      <c r="D286" s="7">
        <f>INDEX(Sheet2!$C$2:$C$65,$B286+1)</f>
        <v>20</v>
      </c>
      <c r="E286" s="7">
        <f>INDEX(Sheet2!$D$2:$D$65,$B286+1)</f>
        <v>4</v>
      </c>
      <c r="F286" s="7">
        <f>INDEX(Sheet3!$AY$2:$BN$11,$A286,$E286+1)</f>
        <v>2151628607</v>
      </c>
      <c r="G286" s="7">
        <f>IF($B286&lt;16,_xlfn.BITOR(_xlfn.BITAND($K285,$L285),_xlfn.BITAND(4294967295-$K285,$M285)),IF($B286&lt;32,_xlfn.BITOR(_xlfn.BITAND($M285,$K285),_xlfn.BITAND(4294967295-$M285,$L285)),IF($B286&lt;48,_xlfn.BITXOR(_xlfn.BITXOR($K285,$L285),$M285),_xlfn.BITXOR($L285,_xlfn.BITOR($K285,4294967295-$M285)))))</f>
        <v>3293544136</v>
      </c>
      <c r="H286" s="7">
        <f>MOD($G286+$J285+$C286+$F286,4294967296)</f>
        <v>1119831926</v>
      </c>
      <c r="I286" s="7">
        <f>MOD($H286,2^(32-$D286))*2^$D286+INT($H286/2^(32-$D286))</f>
        <v>2003053556</v>
      </c>
      <c r="J286" s="7">
        <f>$M285</f>
        <v>1477784789</v>
      </c>
      <c r="K286" s="7">
        <f>MOD($K285+$I286,4294967296)</f>
        <v>1489595062</v>
      </c>
      <c r="L286" s="7">
        <f>$K285</f>
        <v>3781508802</v>
      </c>
      <c r="M286" s="7">
        <f>$L285</f>
        <v>3696908877</v>
      </c>
    </row>
    <row r="287" spans="1:13">
      <c r="A287" s="7">
        <v>5</v>
      </c>
      <c r="B287" s="7">
        <v>24</v>
      </c>
      <c r="C287" s="7">
        <f>INDEX(Sheet2!$B$2:$B$65,$B287+1)</f>
        <v>568446438</v>
      </c>
      <c r="D287" s="7">
        <f>INDEX(Sheet2!$C$2:$C$65,$B287+1)</f>
        <v>5</v>
      </c>
      <c r="E287" s="7">
        <f>INDEX(Sheet2!$D$2:$D$65,$B287+1)</f>
        <v>9</v>
      </c>
      <c r="F287" s="7">
        <f>INDEX(Sheet3!$AY$2:$BN$11,$A287,$E287+1)</f>
        <v>0</v>
      </c>
      <c r="G287" s="7">
        <f>IF($B287&lt;16,_xlfn.BITOR(_xlfn.BITAND($K286,$L286),_xlfn.BITAND(4294967295-$K286,$M286)),IF($B287&lt;32,_xlfn.BITOR(_xlfn.BITAND($M286,$K286),_xlfn.BITAND(4294967295-$M286,$L286)),IF($B287&lt;48,_xlfn.BITXOR(_xlfn.BITXOR($K286,$L286),$M286),_xlfn.BITXOR($L286,_xlfn.BITOR($K286,4294967295-$M286)))))</f>
        <v>2037214854</v>
      </c>
      <c r="H287" s="7">
        <f>MOD($G287+$J286+$C287+$F287,4294967296)</f>
        <v>4083446081</v>
      </c>
      <c r="I287" s="7">
        <f>MOD($H287,2^(32-$D287))*2^$D287+INT($H287/2^(32-$D287))</f>
        <v>1821255742</v>
      </c>
      <c r="J287" s="7">
        <f>$M286</f>
        <v>3696908877</v>
      </c>
      <c r="K287" s="7">
        <f>MOD($K286+$I287,4294967296)</f>
        <v>3310850804</v>
      </c>
      <c r="L287" s="7">
        <f>$K286</f>
        <v>1489595062</v>
      </c>
      <c r="M287" s="7">
        <f>$L286</f>
        <v>3781508802</v>
      </c>
    </row>
    <row r="288" spans="1:13">
      <c r="A288" s="7">
        <v>5</v>
      </c>
      <c r="B288" s="7">
        <v>25</v>
      </c>
      <c r="C288" s="7">
        <f>INDEX(Sheet2!$B$2:$B$65,$B288+1)</f>
        <v>3275163606</v>
      </c>
      <c r="D288" s="7">
        <f>INDEX(Sheet2!$C$2:$C$65,$B288+1)</f>
        <v>9</v>
      </c>
      <c r="E288" s="7">
        <f>INDEX(Sheet2!$D$2:$D$65,$B288+1)</f>
        <v>14</v>
      </c>
      <c r="F288" s="7">
        <f>INDEX(Sheet3!$AY$2:$BN$11,$A288,$E288+1)</f>
        <v>152</v>
      </c>
      <c r="G288" s="7">
        <f>IF($B288&lt;16,_xlfn.BITOR(_xlfn.BITAND($K287,$L287),_xlfn.BITAND(4294967295-$K287,$M287)),IF($B288&lt;32,_xlfn.BITOR(_xlfn.BITAND($M287,$K287),_xlfn.BITAND(4294967295-$M287,$L287)),IF($B288&lt;48,_xlfn.BITXOR(_xlfn.BITXOR($K287,$L287),$M287),_xlfn.BITXOR($L287,_xlfn.BITOR($K287,4294967295-$M287)))))</f>
        <v>3654111988</v>
      </c>
      <c r="H288" s="7">
        <f>MOD($G288+$J287+$C288+$F288,4294967296)</f>
        <v>2036250031</v>
      </c>
      <c r="I288" s="7">
        <f>MOD($H288,2^(32-$D288))*2^$D288+INT($H288/2^(32-$D288))</f>
        <v>3177930482</v>
      </c>
      <c r="J288" s="7">
        <f>$M287</f>
        <v>3781508802</v>
      </c>
      <c r="K288" s="7">
        <f>MOD($K287+$I288,4294967296)</f>
        <v>2193813990</v>
      </c>
      <c r="L288" s="7">
        <f>$K287</f>
        <v>3310850804</v>
      </c>
      <c r="M288" s="7">
        <f>$L287</f>
        <v>1489595062</v>
      </c>
    </row>
    <row r="289" spans="1:13">
      <c r="A289" s="7">
        <v>5</v>
      </c>
      <c r="B289" s="7">
        <v>26</v>
      </c>
      <c r="C289" s="7">
        <f>INDEX(Sheet2!$B$2:$B$65,$B289+1)</f>
        <v>4107603335</v>
      </c>
      <c r="D289" s="7">
        <f>INDEX(Sheet2!$C$2:$C$65,$B289+1)</f>
        <v>14</v>
      </c>
      <c r="E289" s="7">
        <f>INDEX(Sheet2!$D$2:$D$65,$B289+1)</f>
        <v>3</v>
      </c>
      <c r="F289" s="7">
        <f>INDEX(Sheet3!$AY$2:$BN$11,$A289,$E289+1)</f>
        <v>1953248371</v>
      </c>
      <c r="G289" s="7">
        <f>IF($B289&lt;16,_xlfn.BITOR(_xlfn.BITAND($K288,$L288),_xlfn.BITAND(4294967295-$K288,$M288)),IF($B289&lt;32,_xlfn.BITOR(_xlfn.BITAND($M288,$K288),_xlfn.BITAND(4294967295-$M288,$L288)),IF($B289&lt;48,_xlfn.BITXOR(_xlfn.BITXOR($K288,$L288),$M288),_xlfn.BITXOR($L288,_xlfn.BITOR($K288,4294967295-$M288)))))</f>
        <v>2245456102</v>
      </c>
      <c r="H289" s="7">
        <f>MOD($G289+$J288+$C289+$F289,4294967296)</f>
        <v>3497882018</v>
      </c>
      <c r="I289" s="7">
        <f>MOD($H289,2^(32-$D289))*2^$D289+INT($H289/2^(32-$D289))</f>
        <v>1550365727</v>
      </c>
      <c r="J289" s="7">
        <f>$M288</f>
        <v>1489595062</v>
      </c>
      <c r="K289" s="7">
        <f>MOD($K288+$I289,4294967296)</f>
        <v>3744179717</v>
      </c>
      <c r="L289" s="7">
        <f>$K288</f>
        <v>2193813990</v>
      </c>
      <c r="M289" s="7">
        <f>$L288</f>
        <v>3310850804</v>
      </c>
    </row>
    <row r="290" spans="1:13">
      <c r="A290" s="7">
        <v>5</v>
      </c>
      <c r="B290" s="7">
        <v>27</v>
      </c>
      <c r="C290" s="7">
        <f>INDEX(Sheet2!$B$2:$B$65,$B290+1)</f>
        <v>1163531501</v>
      </c>
      <c r="D290" s="7">
        <f>INDEX(Sheet2!$C$2:$C$65,$B290+1)</f>
        <v>20</v>
      </c>
      <c r="E290" s="7">
        <f>INDEX(Sheet2!$D$2:$D$65,$B290+1)</f>
        <v>8</v>
      </c>
      <c r="F290" s="7">
        <f>INDEX(Sheet3!$AY$2:$BN$11,$A290,$E290+1)</f>
        <v>0</v>
      </c>
      <c r="G290" s="7">
        <f>IF($B290&lt;16,_xlfn.BITOR(_xlfn.BITAND($K289,$L289),_xlfn.BITAND(4294967295-$K289,$M289)),IF($B290&lt;32,_xlfn.BITOR(_xlfn.BITAND($M289,$K289),_xlfn.BITAND(4294967295-$M289,$L289)),IF($B290&lt;48,_xlfn.BITXOR(_xlfn.BITXOR($K289,$L289),$M289),_xlfn.BITXOR($L289,_xlfn.BITOR($K289,4294967295-$M289)))))</f>
        <v>3347309318</v>
      </c>
      <c r="H290" s="7">
        <f>MOD($G290+$J289+$C290+$F290,4294967296)</f>
        <v>1705468585</v>
      </c>
      <c r="I290" s="7">
        <f>MOD($H290,2^(32-$D290))*2^$D290+INT($H290/2^(32-$D290))</f>
        <v>714496630</v>
      </c>
      <c r="J290" s="7">
        <f>$M289</f>
        <v>3310850804</v>
      </c>
      <c r="K290" s="7">
        <f>MOD($K289+$I290,4294967296)</f>
        <v>163709051</v>
      </c>
      <c r="L290" s="7">
        <f>$K289</f>
        <v>3744179717</v>
      </c>
      <c r="M290" s="7">
        <f>$L289</f>
        <v>2193813990</v>
      </c>
    </row>
    <row r="291" spans="1:13">
      <c r="A291" s="7">
        <v>5</v>
      </c>
      <c r="B291" s="7">
        <v>28</v>
      </c>
      <c r="C291" s="7">
        <f>INDEX(Sheet2!$B$2:$B$65,$B291+1)</f>
        <v>2850285829</v>
      </c>
      <c r="D291" s="7">
        <f>INDEX(Sheet2!$C$2:$C$65,$B291+1)</f>
        <v>5</v>
      </c>
      <c r="E291" s="7">
        <f>INDEX(Sheet2!$D$2:$D$65,$B291+1)</f>
        <v>13</v>
      </c>
      <c r="F291" s="7">
        <f>INDEX(Sheet3!$AY$2:$BN$11,$A291,$E291+1)</f>
        <v>0</v>
      </c>
      <c r="G291" s="7">
        <f>IF($B291&lt;16,_xlfn.BITOR(_xlfn.BITAND($K290,$L290),_xlfn.BITAND(4294967295-$K290,$M290)),IF($B291&lt;32,_xlfn.BITOR(_xlfn.BITAND($M290,$K290),_xlfn.BITAND(4294967295-$M290,$L290)),IF($B291&lt;48,_xlfn.BITXOR(_xlfn.BITXOR($K290,$L290),$M290),_xlfn.BITXOR($L290,_xlfn.BITOR($K290,4294967295-$M290)))))</f>
        <v>1575683683</v>
      </c>
      <c r="H291" s="7">
        <f>MOD($G291+$J290+$C291+$F291,4294967296)</f>
        <v>3441853020</v>
      </c>
      <c r="I291" s="7">
        <f>MOD($H291,2^(32-$D291))*2^$D291+INT($H291/2^(32-$D291))</f>
        <v>2765114265</v>
      </c>
      <c r="J291" s="7">
        <f>$M290</f>
        <v>2193813990</v>
      </c>
      <c r="K291" s="7">
        <f>MOD($K290+$I291,4294967296)</f>
        <v>2928823316</v>
      </c>
      <c r="L291" s="7">
        <f>$K290</f>
        <v>163709051</v>
      </c>
      <c r="M291" s="7">
        <f>$L290</f>
        <v>3744179717</v>
      </c>
    </row>
    <row r="292" spans="1:13">
      <c r="A292" s="7">
        <v>5</v>
      </c>
      <c r="B292" s="7">
        <v>29</v>
      </c>
      <c r="C292" s="7">
        <f>INDEX(Sheet2!$B$2:$B$65,$B292+1)</f>
        <v>4243563512</v>
      </c>
      <c r="D292" s="7">
        <f>INDEX(Sheet2!$C$2:$C$65,$B292+1)</f>
        <v>9</v>
      </c>
      <c r="E292" s="7">
        <f>INDEX(Sheet2!$D$2:$D$65,$B292+1)</f>
        <v>2</v>
      </c>
      <c r="F292" s="7">
        <f>INDEX(Sheet3!$AY$2:$BN$11,$A292,$E292+1)</f>
        <v>1601792820</v>
      </c>
      <c r="G292" s="7">
        <f>IF($B292&lt;16,_xlfn.BITOR(_xlfn.BITAND($K291,$L291),_xlfn.BITAND(4294967295-$K291,$M291)),IF($B292&lt;32,_xlfn.BITOR(_xlfn.BITAND($M291,$K291),_xlfn.BITAND(4294967295-$M291,$L291)),IF($B292&lt;48,_xlfn.BITXOR(_xlfn.BITXOR($K291,$L291),$M291),_xlfn.BITXOR($L291,_xlfn.BITOR($K291,4294967295-$M291)))))</f>
        <v>2395079806</v>
      </c>
      <c r="H292" s="7">
        <f>MOD($G292+$J291+$C292+$F292,4294967296)</f>
        <v>1844315536</v>
      </c>
      <c r="I292" s="7">
        <f>MOD($H292,2^(32-$D292))*2^$D292+INT($H292/2^(32-$D292))</f>
        <v>3691716827</v>
      </c>
      <c r="J292" s="7">
        <f>$M291</f>
        <v>3744179717</v>
      </c>
      <c r="K292" s="7">
        <f>MOD($K291+$I292,4294967296)</f>
        <v>2325572847</v>
      </c>
      <c r="L292" s="7">
        <f>$K291</f>
        <v>2928823316</v>
      </c>
      <c r="M292" s="7">
        <f>$L291</f>
        <v>163709051</v>
      </c>
    </row>
    <row r="293" spans="1:13">
      <c r="A293" s="7">
        <v>5</v>
      </c>
      <c r="B293" s="7">
        <v>30</v>
      </c>
      <c r="C293" s="7">
        <f>INDEX(Sheet2!$B$2:$B$65,$B293+1)</f>
        <v>1735328473</v>
      </c>
      <c r="D293" s="7">
        <f>INDEX(Sheet2!$C$2:$C$65,$B293+1)</f>
        <v>14</v>
      </c>
      <c r="E293" s="7">
        <f>INDEX(Sheet2!$D$2:$D$65,$B293+1)</f>
        <v>7</v>
      </c>
      <c r="F293" s="7">
        <f>INDEX(Sheet3!$AY$2:$BN$11,$A293,$E293+1)</f>
        <v>0</v>
      </c>
      <c r="G293" s="7">
        <f>IF($B293&lt;16,_xlfn.BITOR(_xlfn.BITAND($K292,$L292),_xlfn.BITAND(4294967295-$K292,$M292)),IF($B293&lt;32,_xlfn.BITOR(_xlfn.BITAND($M292,$K292),_xlfn.BITAND(4294967295-$M292,$L292)),IF($B293&lt;48,_xlfn.BITXOR(_xlfn.BITXOR($K292,$L292),$M292),_xlfn.BITXOR($L292,_xlfn.BITOR($K292,4294967295-$M292)))))</f>
        <v>2928692335</v>
      </c>
      <c r="H293" s="7">
        <f>MOD($G293+$J292+$C293+$F293,4294967296)</f>
        <v>4113233229</v>
      </c>
      <c r="I293" s="7">
        <f>MOD($H293,2^(32-$D293))*2^$D293+INT($H293/2^(32-$D293))</f>
        <v>3176365386</v>
      </c>
      <c r="J293" s="7">
        <f>$M292</f>
        <v>163709051</v>
      </c>
      <c r="K293" s="7">
        <f>MOD($K292+$I293,4294967296)</f>
        <v>1206970937</v>
      </c>
      <c r="L293" s="7">
        <f>$K292</f>
        <v>2325572847</v>
      </c>
      <c r="M293" s="7">
        <f>$L292</f>
        <v>2928823316</v>
      </c>
    </row>
    <row r="294" spans="1:13">
      <c r="A294" s="7">
        <v>5</v>
      </c>
      <c r="B294" s="7">
        <v>31</v>
      </c>
      <c r="C294" s="7">
        <f>INDEX(Sheet2!$B$2:$B$65,$B294+1)</f>
        <v>2368359562</v>
      </c>
      <c r="D294" s="7">
        <f>INDEX(Sheet2!$C$2:$C$65,$B294+1)</f>
        <v>20</v>
      </c>
      <c r="E294" s="7">
        <f>INDEX(Sheet2!$D$2:$D$65,$B294+1)</f>
        <v>12</v>
      </c>
      <c r="F294" s="7">
        <f>INDEX(Sheet3!$AY$2:$BN$11,$A294,$E294+1)</f>
        <v>0</v>
      </c>
      <c r="G294" s="7">
        <f>IF($B294&lt;16,_xlfn.BITOR(_xlfn.BITAND($K293,$L293),_xlfn.BITAND(4294967295-$K293,$M293)),IF($B294&lt;32,_xlfn.BITOR(_xlfn.BITAND($M293,$K293),_xlfn.BITAND(4294967295-$M293,$L293)),IF($B294&lt;48,_xlfn.BITXOR(_xlfn.BITXOR($K293,$L293),$M293),_xlfn.BITXOR($L293,_xlfn.BITOR($K293,4294967295-$M293)))))</f>
        <v>110979323</v>
      </c>
      <c r="H294" s="7">
        <f>MOD($G294+$J293+$C294+$F294,4294967296)</f>
        <v>2643047936</v>
      </c>
      <c r="I294" s="7">
        <f>MOD($H294,2^(32-$D294))*2^$D294+INT($H294/2^(32-$D294))</f>
        <v>1611258011</v>
      </c>
      <c r="J294" s="7">
        <f>$M293</f>
        <v>2928823316</v>
      </c>
      <c r="K294" s="7">
        <f>MOD($K293+$I294,4294967296)</f>
        <v>2818228948</v>
      </c>
      <c r="L294" s="7">
        <f>$K293</f>
        <v>1206970937</v>
      </c>
      <c r="M294" s="7">
        <f>$L293</f>
        <v>2325572847</v>
      </c>
    </row>
    <row r="295" spans="1:13">
      <c r="A295" s="7">
        <v>5</v>
      </c>
      <c r="B295" s="7">
        <v>32</v>
      </c>
      <c r="C295" s="7">
        <f>INDEX(Sheet2!$B$2:$B$65,$B295+1)</f>
        <v>4294588738</v>
      </c>
      <c r="D295" s="7">
        <f>INDEX(Sheet2!$C$2:$C$65,$B295+1)</f>
        <v>4</v>
      </c>
      <c r="E295" s="7">
        <f>INDEX(Sheet2!$D$2:$D$65,$B295+1)</f>
        <v>5</v>
      </c>
      <c r="F295" s="7">
        <f>INDEX(Sheet3!$AY$2:$BN$11,$A295,$E295+1)</f>
        <v>0</v>
      </c>
      <c r="G295" s="7">
        <f>IF($B295&lt;16,_xlfn.BITOR(_xlfn.BITAND($K294,$L294),_xlfn.BITAND(4294967295-$K294,$M294)),IF($B295&lt;32,_xlfn.BITOR(_xlfn.BITAND($M294,$K294),_xlfn.BITAND(4294967295-$M294,$L294)),IF($B295&lt;48,_xlfn.BITXOR(_xlfn.BITXOR($K294,$L294),$M294),_xlfn.BITXOR($L294,_xlfn.BITOR($K294,4294967295-$M294)))))</f>
        <v>1788298242</v>
      </c>
      <c r="H295" s="7">
        <f>MOD($G295+$J294+$C295+$F295,4294967296)</f>
        <v>421775704</v>
      </c>
      <c r="I295" s="7">
        <f>MOD($H295,2^(32-$D295))*2^$D295+INT($H295/2^(32-$D295))</f>
        <v>2453443969</v>
      </c>
      <c r="J295" s="7">
        <f>$M294</f>
        <v>2325572847</v>
      </c>
      <c r="K295" s="7">
        <f>MOD($K294+$I295,4294967296)</f>
        <v>976705621</v>
      </c>
      <c r="L295" s="7">
        <f>$K294</f>
        <v>2818228948</v>
      </c>
      <c r="M295" s="7">
        <f>$L294</f>
        <v>1206970937</v>
      </c>
    </row>
    <row r="296" spans="1:13">
      <c r="A296" s="7">
        <v>5</v>
      </c>
      <c r="B296" s="7">
        <v>33</v>
      </c>
      <c r="C296" s="7">
        <f>INDEX(Sheet2!$B$2:$B$65,$B296+1)</f>
        <v>2272392833</v>
      </c>
      <c r="D296" s="7">
        <f>INDEX(Sheet2!$C$2:$C$65,$B296+1)</f>
        <v>11</v>
      </c>
      <c r="E296" s="7">
        <f>INDEX(Sheet2!$D$2:$D$65,$B296+1)</f>
        <v>8</v>
      </c>
      <c r="F296" s="7">
        <f>INDEX(Sheet3!$AY$2:$BN$11,$A296,$E296+1)</f>
        <v>0</v>
      </c>
      <c r="G296" s="7">
        <f>IF($B296&lt;16,_xlfn.BITOR(_xlfn.BITAND($K295,$L295),_xlfn.BITAND(4294967295-$K295,$M295)),IF($B296&lt;32,_xlfn.BITOR(_xlfn.BITAND($M295,$K295),_xlfn.BITAND(4294967295-$M295,$L295)),IF($B296&lt;48,_xlfn.BITXOR(_xlfn.BITXOR($K295,$L295),$M295),_xlfn.BITXOR($L295,_xlfn.BITOR($K295,4294967295-$M295)))))</f>
        <v>3661459640</v>
      </c>
      <c r="H296" s="7">
        <f>MOD($G296+$J295+$C296+$F296,4294967296)</f>
        <v>3964458024</v>
      </c>
      <c r="I296" s="7">
        <f>MOD($H296,2^(32-$D296))*2^$D296+INT($H296/2^(32-$D296))</f>
        <v>1721845602</v>
      </c>
      <c r="J296" s="7">
        <f>$M295</f>
        <v>1206970937</v>
      </c>
      <c r="K296" s="7">
        <f>MOD($K295+$I296,4294967296)</f>
        <v>2698551223</v>
      </c>
      <c r="L296" s="7">
        <f>$K295</f>
        <v>976705621</v>
      </c>
      <c r="M296" s="7">
        <f>$L295</f>
        <v>2818228948</v>
      </c>
    </row>
    <row r="297" spans="1:13">
      <c r="A297" s="7">
        <v>5</v>
      </c>
      <c r="B297" s="7">
        <v>34</v>
      </c>
      <c r="C297" s="7">
        <f>INDEX(Sheet2!$B$2:$B$65,$B297+1)</f>
        <v>1839030562</v>
      </c>
      <c r="D297" s="7">
        <f>INDEX(Sheet2!$C$2:$C$65,$B297+1)</f>
        <v>16</v>
      </c>
      <c r="E297" s="7">
        <f>INDEX(Sheet2!$D$2:$D$65,$B297+1)</f>
        <v>11</v>
      </c>
      <c r="F297" s="7">
        <f>INDEX(Sheet3!$AY$2:$BN$11,$A297,$E297+1)</f>
        <v>0</v>
      </c>
      <c r="G297" s="7">
        <f>IF($B297&lt;16,_xlfn.BITOR(_xlfn.BITAND($K296,$L296),_xlfn.BITAND(4294967295-$K296,$M296)),IF($B297&lt;32,_xlfn.BITOR(_xlfn.BITAND($M296,$K296),_xlfn.BITAND(4294967295-$M296,$L296)),IF($B297&lt;48,_xlfn.BITXOR(_xlfn.BITXOR($K296,$L296),$M296),_xlfn.BITXOR($L296,_xlfn.BITOR($K296,4294967295-$M296)))))</f>
        <v>1024787766</v>
      </c>
      <c r="H297" s="7">
        <f>MOD($G297+$J296+$C297+$F297,4294967296)</f>
        <v>4070789265</v>
      </c>
      <c r="I297" s="7">
        <f>MOD($H297,2^(32-$D297))*2^$D297+INT($H297/2^(32-$D297))</f>
        <v>1351742115</v>
      </c>
      <c r="J297" s="7">
        <f>$M296</f>
        <v>2818228948</v>
      </c>
      <c r="K297" s="7">
        <f>MOD($K296+$I297,4294967296)</f>
        <v>4050293338</v>
      </c>
      <c r="L297" s="7">
        <f>$K296</f>
        <v>2698551223</v>
      </c>
      <c r="M297" s="7">
        <f>$L296</f>
        <v>976705621</v>
      </c>
    </row>
    <row r="298" spans="1:13">
      <c r="A298" s="7">
        <v>5</v>
      </c>
      <c r="B298" s="7">
        <v>35</v>
      </c>
      <c r="C298" s="7">
        <f>INDEX(Sheet2!$B$2:$B$65,$B298+1)</f>
        <v>4259657740</v>
      </c>
      <c r="D298" s="7">
        <f>INDEX(Sheet2!$C$2:$C$65,$B298+1)</f>
        <v>23</v>
      </c>
      <c r="E298" s="7">
        <f>INDEX(Sheet2!$D$2:$D$65,$B298+1)</f>
        <v>14</v>
      </c>
      <c r="F298" s="7">
        <f>INDEX(Sheet3!$AY$2:$BN$11,$A298,$E298+1)</f>
        <v>152</v>
      </c>
      <c r="G298" s="7">
        <f>IF($B298&lt;16,_xlfn.BITOR(_xlfn.BITAND($K297,$L297),_xlfn.BITAND(4294967295-$K297,$M297)),IF($B298&lt;32,_xlfn.BITOR(_xlfn.BITAND($M297,$K297),_xlfn.BITAND(4294967295-$M297,$L297)),IF($B298&lt;48,_xlfn.BITXOR(_xlfn.BITXOR($K297,$L297),$M297),_xlfn.BITXOR($L297,_xlfn.BITOR($K297,4294967295-$M297)))))</f>
        <v>1803900344</v>
      </c>
      <c r="H298" s="7">
        <f>MOD($G298+$J297+$C298+$F298,4294967296)</f>
        <v>291852592</v>
      </c>
      <c r="I298" s="7">
        <f>MOD($H298,2^(32-$D298))*2^$D298+INT($H298/2^(32-$D298))</f>
        <v>2550706856</v>
      </c>
      <c r="J298" s="7">
        <f>$M297</f>
        <v>976705621</v>
      </c>
      <c r="K298" s="7">
        <f>MOD($K297+$I298,4294967296)</f>
        <v>2306032898</v>
      </c>
      <c r="L298" s="7">
        <f>$K297</f>
        <v>4050293338</v>
      </c>
      <c r="M298" s="7">
        <f>$L297</f>
        <v>2698551223</v>
      </c>
    </row>
    <row r="299" spans="1:13">
      <c r="A299" s="7">
        <v>5</v>
      </c>
      <c r="B299" s="7">
        <v>36</v>
      </c>
      <c r="C299" s="7">
        <f>INDEX(Sheet2!$B$2:$B$65,$B299+1)</f>
        <v>2763975236</v>
      </c>
      <c r="D299" s="7">
        <f>INDEX(Sheet2!$C$2:$C$65,$B299+1)</f>
        <v>4</v>
      </c>
      <c r="E299" s="7">
        <f>INDEX(Sheet2!$D$2:$D$65,$B299+1)</f>
        <v>1</v>
      </c>
      <c r="F299" s="7">
        <f>INDEX(Sheet3!$AY$2:$BN$11,$A299,$E299+1)</f>
        <v>862876511</v>
      </c>
      <c r="G299" s="7">
        <f>IF($B299&lt;16,_xlfn.BITOR(_xlfn.BITAND($K298,$L298),_xlfn.BITAND(4294967295-$K298,$M298)),IF($B299&lt;32,_xlfn.BITOR(_xlfn.BITAND($M298,$K298),_xlfn.BITAND(4294967295-$M298,$L298)),IF($B299&lt;48,_xlfn.BITXOR(_xlfn.BITXOR($K298,$L298),$M298),_xlfn.BITXOR($L298,_xlfn.BITOR($K298,4294967295-$M298)))))</f>
        <v>3636545775</v>
      </c>
      <c r="H299" s="7">
        <f>MOD($G299+$J298+$C299+$F299,4294967296)</f>
        <v>3945135847</v>
      </c>
      <c r="I299" s="7">
        <f>MOD($H299,2^(32-$D299))*2^$D299+INT($H299/2^(32-$D299))</f>
        <v>2992631422</v>
      </c>
      <c r="J299" s="7">
        <f>$M298</f>
        <v>2698551223</v>
      </c>
      <c r="K299" s="7">
        <f>MOD($K298+$I299,4294967296)</f>
        <v>1003697024</v>
      </c>
      <c r="L299" s="7">
        <f>$K298</f>
        <v>2306032898</v>
      </c>
      <c r="M299" s="7">
        <f>$L298</f>
        <v>4050293338</v>
      </c>
    </row>
    <row r="300" spans="1:13">
      <c r="A300" s="7">
        <v>5</v>
      </c>
      <c r="B300" s="7">
        <v>37</v>
      </c>
      <c r="C300" s="7">
        <f>INDEX(Sheet2!$B$2:$B$65,$B300+1)</f>
        <v>1272893353</v>
      </c>
      <c r="D300" s="7">
        <f>INDEX(Sheet2!$C$2:$C$65,$B300+1)</f>
        <v>11</v>
      </c>
      <c r="E300" s="7">
        <f>INDEX(Sheet2!$D$2:$D$65,$B300+1)</f>
        <v>4</v>
      </c>
      <c r="F300" s="7">
        <f>INDEX(Sheet3!$AY$2:$BN$11,$A300,$E300+1)</f>
        <v>2151628607</v>
      </c>
      <c r="G300" s="7">
        <f>IF($B300&lt;16,_xlfn.BITOR(_xlfn.BITAND($K299,$L299),_xlfn.BITAND(4294967295-$K299,$M299)),IF($B300&lt;32,_xlfn.BITOR(_xlfn.BITAND($M299,$K299),_xlfn.BITAND(4294967295-$M299,$L299)),IF($B300&lt;48,_xlfn.BITXOR(_xlfn.BITXOR($K299,$L299),$M299),_xlfn.BITXOR($L299,_xlfn.BITOR($K299,4294967295-$M299)))))</f>
        <v>1137370328</v>
      </c>
      <c r="H300" s="7">
        <f>MOD($G300+$J299+$C300+$F300,4294967296)</f>
        <v>2965476215</v>
      </c>
      <c r="I300" s="7">
        <f>MOD($H300,2^(32-$D300))*2^$D300+INT($H300/2^(32-$D300))</f>
        <v>211533190</v>
      </c>
      <c r="J300" s="7">
        <f>$M299</f>
        <v>4050293338</v>
      </c>
      <c r="K300" s="7">
        <f>MOD($K299+$I300,4294967296)</f>
        <v>1215230214</v>
      </c>
      <c r="L300" s="7">
        <f>$K299</f>
        <v>1003697024</v>
      </c>
      <c r="M300" s="7">
        <f>$L299</f>
        <v>2306032898</v>
      </c>
    </row>
    <row r="301" spans="1:13">
      <c r="A301" s="7">
        <v>5</v>
      </c>
      <c r="B301" s="7">
        <v>38</v>
      </c>
      <c r="C301" s="7">
        <f>INDEX(Sheet2!$B$2:$B$65,$B301+1)</f>
        <v>4139469664</v>
      </c>
      <c r="D301" s="7">
        <f>INDEX(Sheet2!$C$2:$C$65,$B301+1)</f>
        <v>16</v>
      </c>
      <c r="E301" s="7">
        <f>INDEX(Sheet2!$D$2:$D$65,$B301+1)</f>
        <v>7</v>
      </c>
      <c r="F301" s="7">
        <f>INDEX(Sheet3!$AY$2:$BN$11,$A301,$E301+1)</f>
        <v>0</v>
      </c>
      <c r="G301" s="7">
        <f>IF($B301&lt;16,_xlfn.BITOR(_xlfn.BITAND($K300,$L300),_xlfn.BITAND(4294967295-$K300,$M300)),IF($B301&lt;32,_xlfn.BITOR(_xlfn.BITAND($M300,$K300),_xlfn.BITAND(4294967295-$M300,$L300)),IF($B301&lt;48,_xlfn.BITXOR(_xlfn.BITXOR($K300,$L300),$M300),_xlfn.BITXOR($L300,_xlfn.BITOR($K300,4294967295-$M300)))))</f>
        <v>4207839108</v>
      </c>
      <c r="H301" s="7">
        <f>MOD($G301+$J300+$C301+$F301,4294967296)</f>
        <v>3807667518</v>
      </c>
      <c r="I301" s="7">
        <f>MOD($H301,2^(32-$D301))*2^$D301+INT($H301/2^(32-$D301))</f>
        <v>1698620148</v>
      </c>
      <c r="J301" s="7">
        <f>$M300</f>
        <v>2306032898</v>
      </c>
      <c r="K301" s="7">
        <f>MOD($K300+$I301,4294967296)</f>
        <v>2913850362</v>
      </c>
      <c r="L301" s="7">
        <f>$K300</f>
        <v>1215230214</v>
      </c>
      <c r="M301" s="7">
        <f>$L300</f>
        <v>1003697024</v>
      </c>
    </row>
    <row r="302" spans="1:13">
      <c r="A302" s="7">
        <v>5</v>
      </c>
      <c r="B302" s="7">
        <v>39</v>
      </c>
      <c r="C302" s="7">
        <f>INDEX(Sheet2!$B$2:$B$65,$B302+1)</f>
        <v>3200236656</v>
      </c>
      <c r="D302" s="7">
        <f>INDEX(Sheet2!$C$2:$C$65,$B302+1)</f>
        <v>23</v>
      </c>
      <c r="E302" s="7">
        <f>INDEX(Sheet2!$D$2:$D$65,$B302+1)</f>
        <v>10</v>
      </c>
      <c r="F302" s="7">
        <f>INDEX(Sheet3!$AY$2:$BN$11,$A302,$E302+1)</f>
        <v>0</v>
      </c>
      <c r="G302" s="7">
        <f>IF($B302&lt;16,_xlfn.BITOR(_xlfn.BITAND($K301,$L301),_xlfn.BITAND(4294967295-$K301,$M301)),IF($B302&lt;32,_xlfn.BITOR(_xlfn.BITAND($M301,$K301),_xlfn.BITAND(4294967295-$M301,$L301)),IF($B302&lt;48,_xlfn.BITXOR(_xlfn.BITXOR($K301,$L301),$M301),_xlfn.BITXOR($L301,_xlfn.BITOR($K301,4294967295-$M301)))))</f>
        <v>3725595004</v>
      </c>
      <c r="H302" s="7">
        <f>MOD($G302+$J301+$C302+$F302,4294967296)</f>
        <v>641929966</v>
      </c>
      <c r="I302" s="7">
        <f>MOD($H302,2^(32-$D302))*2^$D302+INT($H302/2^(32-$D302))</f>
        <v>1997742473</v>
      </c>
      <c r="J302" s="7">
        <f>$M301</f>
        <v>1003697024</v>
      </c>
      <c r="K302" s="7">
        <f>MOD($K301+$I302,4294967296)</f>
        <v>616625539</v>
      </c>
      <c r="L302" s="7">
        <f>$K301</f>
        <v>2913850362</v>
      </c>
      <c r="M302" s="7">
        <f>$L301</f>
        <v>1215230214</v>
      </c>
    </row>
    <row r="303" spans="1:13">
      <c r="A303" s="7">
        <v>5</v>
      </c>
      <c r="B303" s="7">
        <v>40</v>
      </c>
      <c r="C303" s="7">
        <f>INDEX(Sheet2!$B$2:$B$65,$B303+1)</f>
        <v>681279174</v>
      </c>
      <c r="D303" s="7">
        <f>INDEX(Sheet2!$C$2:$C$65,$B303+1)</f>
        <v>4</v>
      </c>
      <c r="E303" s="7">
        <f>INDEX(Sheet2!$D$2:$D$65,$B303+1)</f>
        <v>13</v>
      </c>
      <c r="F303" s="7">
        <f>INDEX(Sheet3!$AY$2:$BN$11,$A303,$E303+1)</f>
        <v>0</v>
      </c>
      <c r="G303" s="7">
        <f>IF($B303&lt;16,_xlfn.BITOR(_xlfn.BITAND($K302,$L302),_xlfn.BITAND(4294967295-$K302,$M302)),IF($B303&lt;32,_xlfn.BITOR(_xlfn.BITAND($M302,$K302),_xlfn.BITAND(4294967295-$M302,$L302)),IF($B303&lt;48,_xlfn.BITXOR(_xlfn.BITXOR($K302,$L302),$M302),_xlfn.BITXOR($L302,_xlfn.BITOR($K302,4294967295-$M302)))))</f>
        <v>3238254463</v>
      </c>
      <c r="H303" s="7">
        <f>MOD($G303+$J302+$C303+$F303,4294967296)</f>
        <v>628263365</v>
      </c>
      <c r="I303" s="7">
        <f>MOD($H303,2^(32-$D303))*2^$D303+INT($H303/2^(32-$D303))</f>
        <v>1462279250</v>
      </c>
      <c r="J303" s="7">
        <f>$M302</f>
        <v>1215230214</v>
      </c>
      <c r="K303" s="7">
        <f>MOD($K302+$I303,4294967296)</f>
        <v>2078904789</v>
      </c>
      <c r="L303" s="7">
        <f>$K302</f>
        <v>616625539</v>
      </c>
      <c r="M303" s="7">
        <f>$L302</f>
        <v>2913850362</v>
      </c>
    </row>
    <row r="304" spans="1:13">
      <c r="A304" s="7">
        <v>5</v>
      </c>
      <c r="B304" s="7">
        <v>41</v>
      </c>
      <c r="C304" s="7">
        <f>INDEX(Sheet2!$B$2:$B$65,$B304+1)</f>
        <v>3936430074</v>
      </c>
      <c r="D304" s="7">
        <f>INDEX(Sheet2!$C$2:$C$65,$B304+1)</f>
        <v>11</v>
      </c>
      <c r="E304" s="7">
        <f>INDEX(Sheet2!$D$2:$D$65,$B304+1)</f>
        <v>0</v>
      </c>
      <c r="F304" s="7">
        <f>INDEX(Sheet3!$AY$2:$BN$11,$A304,$E304+1)</f>
        <v>1701654643</v>
      </c>
      <c r="G304" s="7">
        <f>IF($B304&lt;16,_xlfn.BITOR(_xlfn.BITAND($K303,$L303),_xlfn.BITAND(4294967295-$K303,$M303)),IF($B304&lt;32,_xlfn.BITOR(_xlfn.BITAND($M303,$K303),_xlfn.BITAND(4294967295-$M303,$L303)),IF($B304&lt;48,_xlfn.BITXOR(_xlfn.BITXOR($K303,$L303),$M303),_xlfn.BITXOR($L303,_xlfn.BITOR($K303,4294967295-$M303)))))</f>
        <v>4068784044</v>
      </c>
      <c r="H304" s="7">
        <f>MOD($G304+$J303+$C304+$F304,4294967296)</f>
        <v>2332164383</v>
      </c>
      <c r="I304" s="7">
        <f>MOD($H304,2^(32-$D304))*2^$D304+INT($H304/2^(32-$D304))</f>
        <v>269024344</v>
      </c>
      <c r="J304" s="7">
        <f>$M303</f>
        <v>2913850362</v>
      </c>
      <c r="K304" s="7">
        <f>MOD($K303+$I304,4294967296)</f>
        <v>2347929133</v>
      </c>
      <c r="L304" s="7">
        <f>$K303</f>
        <v>2078904789</v>
      </c>
      <c r="M304" s="7">
        <f>$L303</f>
        <v>616625539</v>
      </c>
    </row>
    <row r="305" spans="1:13">
      <c r="A305" s="7">
        <v>5</v>
      </c>
      <c r="B305" s="7">
        <v>42</v>
      </c>
      <c r="C305" s="7">
        <f>INDEX(Sheet2!$B$2:$B$65,$B305+1)</f>
        <v>3572445317</v>
      </c>
      <c r="D305" s="7">
        <f>INDEX(Sheet2!$C$2:$C$65,$B305+1)</f>
        <v>16</v>
      </c>
      <c r="E305" s="7">
        <f>INDEX(Sheet2!$D$2:$D$65,$B305+1)</f>
        <v>3</v>
      </c>
      <c r="F305" s="7">
        <f>INDEX(Sheet3!$AY$2:$BN$11,$A305,$E305+1)</f>
        <v>1953248371</v>
      </c>
      <c r="G305" s="7">
        <f>IF($B305&lt;16,_xlfn.BITOR(_xlfn.BITAND($K304,$L304),_xlfn.BITAND(4294967295-$K304,$M304)),IF($B305&lt;32,_xlfn.BITOR(_xlfn.BITAND($M304,$K304),_xlfn.BITAND(4294967295-$M304,$L304)),IF($B305&lt;48,_xlfn.BITXOR(_xlfn.BITXOR($K304,$L304),$M304),_xlfn.BITXOR($L304,_xlfn.BITOR($K304,4294967295-$M304)))))</f>
        <v>3571182203</v>
      </c>
      <c r="H305" s="7">
        <f>MOD($G305+$J304+$C305+$F305,4294967296)</f>
        <v>3420791661</v>
      </c>
      <c r="I305" s="7">
        <f>MOD($H305,2^(32-$D305))*2^$D305+INT($H305/2^(32-$D305))</f>
        <v>594398181</v>
      </c>
      <c r="J305" s="7">
        <f>$M304</f>
        <v>616625539</v>
      </c>
      <c r="K305" s="7">
        <f>MOD($K304+$I305,4294967296)</f>
        <v>2942327314</v>
      </c>
      <c r="L305" s="7">
        <f>$K304</f>
        <v>2347929133</v>
      </c>
      <c r="M305" s="7">
        <f>$L304</f>
        <v>2078904789</v>
      </c>
    </row>
    <row r="306" spans="1:13">
      <c r="A306" s="7">
        <v>5</v>
      </c>
      <c r="B306" s="7">
        <v>43</v>
      </c>
      <c r="C306" s="7">
        <f>INDEX(Sheet2!$B$2:$B$65,$B306+1)</f>
        <v>76029189</v>
      </c>
      <c r="D306" s="7">
        <f>INDEX(Sheet2!$C$2:$C$65,$B306+1)</f>
        <v>23</v>
      </c>
      <c r="E306" s="7">
        <f>INDEX(Sheet2!$D$2:$D$65,$B306+1)</f>
        <v>6</v>
      </c>
      <c r="F306" s="7">
        <f>INDEX(Sheet3!$AY$2:$BN$11,$A306,$E306+1)</f>
        <v>0</v>
      </c>
      <c r="G306" s="7">
        <f>IF($B306&lt;16,_xlfn.BITOR(_xlfn.BITAND($K305,$L305),_xlfn.BITAND(4294967295-$K305,$M305)),IF($B306&lt;32,_xlfn.BITOR(_xlfn.BITAND($M305,$K305),_xlfn.BITAND(4294967295-$M305,$L305)),IF($B306&lt;48,_xlfn.BITXOR(_xlfn.BITXOR($K305,$L305),$M305),_xlfn.BITXOR($L305,_xlfn.BITOR($K305,4294967295-$M305)))))</f>
        <v>1601914346</v>
      </c>
      <c r="H306" s="7">
        <f>MOD($G306+$J305+$C306+$F306,4294967296)</f>
        <v>2294569074</v>
      </c>
      <c r="I306" s="7">
        <f>MOD($H306,2^(32-$D306))*2^$D306+INT($H306/2^(32-$D306))</f>
        <v>960782892</v>
      </c>
      <c r="J306" s="7">
        <f>$M305</f>
        <v>2078904789</v>
      </c>
      <c r="K306" s="7">
        <f>MOD($K305+$I306,4294967296)</f>
        <v>3903110206</v>
      </c>
      <c r="L306" s="7">
        <f>$K305</f>
        <v>2942327314</v>
      </c>
      <c r="M306" s="7">
        <f>$L305</f>
        <v>2347929133</v>
      </c>
    </row>
    <row r="307" spans="1:13">
      <c r="A307" s="7">
        <v>5</v>
      </c>
      <c r="B307" s="7">
        <v>44</v>
      </c>
      <c r="C307" s="7">
        <f>INDEX(Sheet2!$B$2:$B$65,$B307+1)</f>
        <v>3654602809</v>
      </c>
      <c r="D307" s="7">
        <f>INDEX(Sheet2!$C$2:$C$65,$B307+1)</f>
        <v>4</v>
      </c>
      <c r="E307" s="7">
        <f>INDEX(Sheet2!$D$2:$D$65,$B307+1)</f>
        <v>9</v>
      </c>
      <c r="F307" s="7">
        <f>INDEX(Sheet3!$AY$2:$BN$11,$A307,$E307+1)</f>
        <v>0</v>
      </c>
      <c r="G307" s="7">
        <f>IF($B307&lt;16,_xlfn.BITOR(_xlfn.BITAND($K306,$L306),_xlfn.BITAND(4294967295-$K306,$M306)),IF($B307&lt;32,_xlfn.BITOR(_xlfn.BITAND($M306,$K306),_xlfn.BITAND(4294967295-$M306,$L306)),IF($B307&lt;48,_xlfn.BITXOR(_xlfn.BITXOR($K306,$L306),$M306),_xlfn.BITXOR($L306,_xlfn.BITOR($K306,4294967295-$M306)))))</f>
        <v>3426117633</v>
      </c>
      <c r="H307" s="7">
        <f>MOD($G307+$J306+$C307+$F307,4294967296)</f>
        <v>569690639</v>
      </c>
      <c r="I307" s="7">
        <f>MOD($H307,2^(32-$D307))*2^$D307+INT($H307/2^(32-$D307))</f>
        <v>525115634</v>
      </c>
      <c r="J307" s="7">
        <f>$M306</f>
        <v>2347929133</v>
      </c>
      <c r="K307" s="7">
        <f>MOD($K306+$I307,4294967296)</f>
        <v>133258544</v>
      </c>
      <c r="L307" s="7">
        <f>$K306</f>
        <v>3903110206</v>
      </c>
      <c r="M307" s="7">
        <f>$L306</f>
        <v>2942327314</v>
      </c>
    </row>
    <row r="308" spans="1:13">
      <c r="A308" s="7">
        <v>5</v>
      </c>
      <c r="B308" s="7">
        <v>45</v>
      </c>
      <c r="C308" s="7">
        <f>INDEX(Sheet2!$B$2:$B$65,$B308+1)</f>
        <v>3873151461</v>
      </c>
      <c r="D308" s="7">
        <f>INDEX(Sheet2!$C$2:$C$65,$B308+1)</f>
        <v>11</v>
      </c>
      <c r="E308" s="7">
        <f>INDEX(Sheet2!$D$2:$D$65,$B308+1)</f>
        <v>12</v>
      </c>
      <c r="F308" s="7">
        <f>INDEX(Sheet3!$AY$2:$BN$11,$A308,$E308+1)</f>
        <v>0</v>
      </c>
      <c r="G308" s="7">
        <f>IF($B308&lt;16,_xlfn.BITOR(_xlfn.BITAND($K307,$L307),_xlfn.BITAND(4294967295-$K307,$M307)),IF($B308&lt;32,_xlfn.BITOR(_xlfn.BITAND($M307,$K307),_xlfn.BITAND(4294967295-$M307,$L307)),IF($B308&lt;48,_xlfn.BITXOR(_xlfn.BITXOR($K307,$L307),$M307),_xlfn.BITXOR($L307,_xlfn.BITOR($K307,4294967295-$M307)))))</f>
        <v>1077263132</v>
      </c>
      <c r="H308" s="7">
        <f>MOD($G308+$J307+$C308+$F308,4294967296)</f>
        <v>3003376430</v>
      </c>
      <c r="I308" s="7">
        <f>MOD($H308,2^(32-$D308))*2^$D308+INT($H308/2^(32-$D308))</f>
        <v>521762200</v>
      </c>
      <c r="J308" s="7">
        <f>$M307</f>
        <v>2942327314</v>
      </c>
      <c r="K308" s="7">
        <f>MOD($K307+$I308,4294967296)</f>
        <v>655020744</v>
      </c>
      <c r="L308" s="7">
        <f>$K307</f>
        <v>133258544</v>
      </c>
      <c r="M308" s="7">
        <f>$L307</f>
        <v>3903110206</v>
      </c>
    </row>
    <row r="309" spans="1:13">
      <c r="A309" s="7">
        <v>5</v>
      </c>
      <c r="B309" s="7">
        <v>46</v>
      </c>
      <c r="C309" s="7">
        <f>INDEX(Sheet2!$B$2:$B$65,$B309+1)</f>
        <v>530742520</v>
      </c>
      <c r="D309" s="7">
        <f>INDEX(Sheet2!$C$2:$C$65,$B309+1)</f>
        <v>16</v>
      </c>
      <c r="E309" s="7">
        <f>INDEX(Sheet2!$D$2:$D$65,$B309+1)</f>
        <v>15</v>
      </c>
      <c r="F309" s="7">
        <f>INDEX(Sheet3!$AY$2:$BN$11,$A309,$E309+1)</f>
        <v>0</v>
      </c>
      <c r="G309" s="7">
        <f>IF($B309&lt;16,_xlfn.BITOR(_xlfn.BITAND($K308,$L308),_xlfn.BITAND(4294967295-$K308,$M308)),IF($B309&lt;32,_xlfn.BITOR(_xlfn.BITAND($M308,$K308),_xlfn.BITAND(4294967295-$M308,$L308)),IF($B309&lt;48,_xlfn.BITXOR(_xlfn.BITXOR($K308,$L308),$M308),_xlfn.BITXOR($L308,_xlfn.BITOR($K308,4294967295-$M308)))))</f>
        <v>3361682374</v>
      </c>
      <c r="H309" s="7">
        <f>MOD($G309+$J308+$C309+$F309,4294967296)</f>
        <v>2539784912</v>
      </c>
      <c r="I309" s="7">
        <f>MOD($H309,2^(32-$D309))*2^$D309+INT($H309/2^(32-$D309))</f>
        <v>181442402</v>
      </c>
      <c r="J309" s="7">
        <f>$M308</f>
        <v>3903110206</v>
      </c>
      <c r="K309" s="7">
        <f>MOD($K308+$I309,4294967296)</f>
        <v>836463146</v>
      </c>
      <c r="L309" s="7">
        <f>$K308</f>
        <v>655020744</v>
      </c>
      <c r="M309" s="7">
        <f>$L308</f>
        <v>133258544</v>
      </c>
    </row>
    <row r="310" spans="1:13">
      <c r="A310" s="7">
        <v>5</v>
      </c>
      <c r="B310" s="7">
        <v>47</v>
      </c>
      <c r="C310" s="7">
        <f>INDEX(Sheet2!$B$2:$B$65,$B310+1)</f>
        <v>3299628645</v>
      </c>
      <c r="D310" s="7">
        <f>INDEX(Sheet2!$C$2:$C$65,$B310+1)</f>
        <v>23</v>
      </c>
      <c r="E310" s="7">
        <f>INDEX(Sheet2!$D$2:$D$65,$B310+1)</f>
        <v>2</v>
      </c>
      <c r="F310" s="7">
        <f>INDEX(Sheet3!$AY$2:$BN$11,$A310,$E310+1)</f>
        <v>1601792820</v>
      </c>
      <c r="G310" s="7">
        <f>IF($B310&lt;16,_xlfn.BITOR(_xlfn.BITAND($K309,$L309),_xlfn.BITAND(4294967295-$K309,$M309)),IF($B310&lt;32,_xlfn.BITOR(_xlfn.BITAND($M309,$K309),_xlfn.BITAND(4294967295-$M309,$L309)),IF($B310&lt;48,_xlfn.BITXOR(_xlfn.BITXOR($K309,$L309),$M309),_xlfn.BITXOR($L309,_xlfn.BITOR($K309,4294967295-$M309)))))</f>
        <v>287368658</v>
      </c>
      <c r="H310" s="7">
        <f>MOD($G310+$J309+$C310+$F310,4294967296)</f>
        <v>501965737</v>
      </c>
      <c r="I310" s="7">
        <f>MOD($H310,2^(32-$D310))*2^$D310+INT($H310/2^(32-$D310))</f>
        <v>3566138801</v>
      </c>
      <c r="J310" s="7">
        <f>$M309</f>
        <v>133258544</v>
      </c>
      <c r="K310" s="7">
        <f>MOD($K309+$I310,4294967296)</f>
        <v>107634651</v>
      </c>
      <c r="L310" s="7">
        <f>$K309</f>
        <v>836463146</v>
      </c>
      <c r="M310" s="7">
        <f>$L309</f>
        <v>655020744</v>
      </c>
    </row>
    <row r="311" spans="1:13">
      <c r="A311" s="7">
        <v>5</v>
      </c>
      <c r="B311" s="7">
        <v>48</v>
      </c>
      <c r="C311" s="7">
        <f>INDEX(Sheet2!$B$2:$B$65,$B311+1)</f>
        <v>4096336452</v>
      </c>
      <c r="D311" s="7">
        <f>INDEX(Sheet2!$C$2:$C$65,$B311+1)</f>
        <v>6</v>
      </c>
      <c r="E311" s="7">
        <f>INDEX(Sheet2!$D$2:$D$65,$B311+1)</f>
        <v>0</v>
      </c>
      <c r="F311" s="7">
        <f>INDEX(Sheet3!$AY$2:$BN$11,$A311,$E311+1)</f>
        <v>1701654643</v>
      </c>
      <c r="G311" s="7">
        <f>IF($B311&lt;16,_xlfn.BITOR(_xlfn.BITAND($K310,$L310),_xlfn.BITAND(4294967295-$K310,$M310)),IF($B311&lt;32,_xlfn.BITOR(_xlfn.BITAND($M310,$K310),_xlfn.BITAND(4294967295-$M310,$L310)),IF($B311&lt;48,_xlfn.BITXOR(_xlfn.BITXOR($K310,$L310),$M310),_xlfn.BITXOR($L310,_xlfn.BITOR($K310,4294967295-$M310)))))</f>
        <v>4012119509</v>
      </c>
      <c r="H311" s="7">
        <f>MOD($G311+$J310+$C311+$F311,4294967296)</f>
        <v>1353434556</v>
      </c>
      <c r="I311" s="7">
        <f>MOD($H311,2^(32-$D311))*2^$D311+INT($H311/2^(32-$D311))</f>
        <v>720465684</v>
      </c>
      <c r="J311" s="7">
        <f>$M310</f>
        <v>655020744</v>
      </c>
      <c r="K311" s="7">
        <f>MOD($K310+$I311,4294967296)</f>
        <v>828100335</v>
      </c>
      <c r="L311" s="7">
        <f>$K310</f>
        <v>107634651</v>
      </c>
      <c r="M311" s="7">
        <f>$L310</f>
        <v>836463146</v>
      </c>
    </row>
    <row r="312" spans="1:13">
      <c r="A312" s="7">
        <v>5</v>
      </c>
      <c r="B312" s="7">
        <v>49</v>
      </c>
      <c r="C312" s="7">
        <f>INDEX(Sheet2!$B$2:$B$65,$B312+1)</f>
        <v>1126891415</v>
      </c>
      <c r="D312" s="7">
        <f>INDEX(Sheet2!$C$2:$C$65,$B312+1)</f>
        <v>10</v>
      </c>
      <c r="E312" s="7">
        <f>INDEX(Sheet2!$D$2:$D$65,$B312+1)</f>
        <v>7</v>
      </c>
      <c r="F312" s="7">
        <f>INDEX(Sheet3!$AY$2:$BN$11,$A312,$E312+1)</f>
        <v>0</v>
      </c>
      <c r="G312" s="7">
        <f>IF($B312&lt;16,_xlfn.BITOR(_xlfn.BITAND($K311,$L311),_xlfn.BITAND(4294967295-$K311,$M311)),IF($B312&lt;32,_xlfn.BITOR(_xlfn.BITAND($M311,$K311),_xlfn.BITAND(4294967295-$M311,$L311)),IF($B312&lt;48,_xlfn.BITXOR(_xlfn.BITXOR($K311,$L311),$M311),_xlfn.BITXOR($L311,_xlfn.BITOR($K311,4294967295-$M311)))))</f>
        <v>4178935844</v>
      </c>
      <c r="H312" s="7">
        <f>MOD($G312+$J311+$C312+$F312,4294967296)</f>
        <v>1665880707</v>
      </c>
      <c r="I312" s="7">
        <f>MOD($H312,2^(32-$D312))*2^$D312+INT($H312/2^(32-$D312))</f>
        <v>759827853</v>
      </c>
      <c r="J312" s="7">
        <f>$M311</f>
        <v>836463146</v>
      </c>
      <c r="K312" s="7">
        <f>MOD($K311+$I312,4294967296)</f>
        <v>1587928188</v>
      </c>
      <c r="L312" s="7">
        <f>$K311</f>
        <v>828100335</v>
      </c>
      <c r="M312" s="7">
        <f>$L311</f>
        <v>107634651</v>
      </c>
    </row>
    <row r="313" spans="1:13">
      <c r="A313" s="7">
        <v>5</v>
      </c>
      <c r="B313" s="7">
        <v>50</v>
      </c>
      <c r="C313" s="7">
        <f>INDEX(Sheet2!$B$2:$B$65,$B313+1)</f>
        <v>2878612391</v>
      </c>
      <c r="D313" s="7">
        <f>INDEX(Sheet2!$C$2:$C$65,$B313+1)</f>
        <v>15</v>
      </c>
      <c r="E313" s="7">
        <f>INDEX(Sheet2!$D$2:$D$65,$B313+1)</f>
        <v>14</v>
      </c>
      <c r="F313" s="7">
        <f>INDEX(Sheet3!$AY$2:$BN$11,$A313,$E313+1)</f>
        <v>152</v>
      </c>
      <c r="G313" s="7">
        <f>IF($B313&lt;16,_xlfn.BITOR(_xlfn.BITAND($K312,$L312),_xlfn.BITAND(4294967295-$K312,$M312)),IF($B313&lt;32,_xlfn.BITOR(_xlfn.BITAND($M312,$K312),_xlfn.BITAND(4294967295-$M312,$L312)),IF($B313&lt;48,_xlfn.BITXOR(_xlfn.BITXOR($K312,$L312),$M312),_xlfn.BITXOR($L312,_xlfn.BITOR($K312,4294967295-$M312)))))</f>
        <v>3471717011</v>
      </c>
      <c r="H313" s="7">
        <f>MOD($G313+$J312+$C313+$F313,4294967296)</f>
        <v>2891825404</v>
      </c>
      <c r="I313" s="7">
        <f>MOD($H313,2^(32-$D313))*2^$D313+INT($H313/2^(32-$D313))</f>
        <v>3766375982</v>
      </c>
      <c r="J313" s="7">
        <f>$M312</f>
        <v>107634651</v>
      </c>
      <c r="K313" s="7">
        <f>MOD($K312+$I313,4294967296)</f>
        <v>1059336874</v>
      </c>
      <c r="L313" s="7">
        <f>$K312</f>
        <v>1587928188</v>
      </c>
      <c r="M313" s="7">
        <f>$L312</f>
        <v>828100335</v>
      </c>
    </row>
    <row r="314" spans="1:13">
      <c r="A314" s="7">
        <v>5</v>
      </c>
      <c r="B314" s="7">
        <v>51</v>
      </c>
      <c r="C314" s="7">
        <f>INDEX(Sheet2!$B$2:$B$65,$B314+1)</f>
        <v>4237533241</v>
      </c>
      <c r="D314" s="7">
        <f>INDEX(Sheet2!$C$2:$C$65,$B314+1)</f>
        <v>21</v>
      </c>
      <c r="E314" s="7">
        <f>INDEX(Sheet2!$D$2:$D$65,$B314+1)</f>
        <v>5</v>
      </c>
      <c r="F314" s="7">
        <f>INDEX(Sheet3!$AY$2:$BN$11,$A314,$E314+1)</f>
        <v>0</v>
      </c>
      <c r="G314" s="7">
        <f>IF($B314&lt;16,_xlfn.BITOR(_xlfn.BITAND($K313,$L313),_xlfn.BITAND(4294967295-$K313,$M313)),IF($B314&lt;32,_xlfn.BITOR(_xlfn.BITAND($M313,$K313),_xlfn.BITAND(4294967295-$M313,$L313)),IF($B314&lt;48,_xlfn.BITXOR(_xlfn.BITXOR($K313,$L313),$M313),_xlfn.BITXOR($L313,_xlfn.BITOR($K313,4294967295-$M313)))))</f>
        <v>2701258694</v>
      </c>
      <c r="H314" s="7">
        <f>MOD($G314+$J313+$C314+$F314,4294967296)</f>
        <v>2751459290</v>
      </c>
      <c r="I314" s="7">
        <f>MOD($H314,2^(32-$D314))*2^$D314+INT($H314/2^(32-$D314))</f>
        <v>4216619005</v>
      </c>
      <c r="J314" s="7">
        <f>$M313</f>
        <v>828100335</v>
      </c>
      <c r="K314" s="7">
        <f>MOD($K313+$I314,4294967296)</f>
        <v>980988583</v>
      </c>
      <c r="L314" s="7">
        <f>$K313</f>
        <v>1059336874</v>
      </c>
      <c r="M314" s="7">
        <f>$L313</f>
        <v>1587928188</v>
      </c>
    </row>
    <row r="315" spans="1:13">
      <c r="A315" s="7">
        <v>5</v>
      </c>
      <c r="B315" s="7">
        <v>52</v>
      </c>
      <c r="C315" s="7">
        <f>INDEX(Sheet2!$B$2:$B$65,$B315+1)</f>
        <v>1700485571</v>
      </c>
      <c r="D315" s="7">
        <f>INDEX(Sheet2!$C$2:$C$65,$B315+1)</f>
        <v>6</v>
      </c>
      <c r="E315" s="7">
        <f>INDEX(Sheet2!$D$2:$D$65,$B315+1)</f>
        <v>12</v>
      </c>
      <c r="F315" s="7">
        <f>INDEX(Sheet3!$AY$2:$BN$11,$A315,$E315+1)</f>
        <v>0</v>
      </c>
      <c r="G315" s="7">
        <f>IF($B315&lt;16,_xlfn.BITOR(_xlfn.BITAND($K314,$L314),_xlfn.BITAND(4294967295-$K314,$M314)),IF($B315&lt;32,_xlfn.BITOR(_xlfn.BITAND($M314,$K314),_xlfn.BITAND(4294967295-$M314,$L314)),IF($B315&lt;48,_xlfn.BITXOR(_xlfn.BITXOR($K314,$L314),$M314),_xlfn.BITXOR($L314,_xlfn.BITOR($K314,4294967295-$M314)))))</f>
        <v>2220785933</v>
      </c>
      <c r="H315" s="7">
        <f>MOD($G315+$J314+$C315+$F315,4294967296)</f>
        <v>454404543</v>
      </c>
      <c r="I315" s="7">
        <f>MOD($H315,2^(32-$D315))*2^$D315+INT($H315/2^(32-$D315))</f>
        <v>3312086982</v>
      </c>
      <c r="J315" s="7">
        <f>$M314</f>
        <v>1587928188</v>
      </c>
      <c r="K315" s="7">
        <f>MOD($K314+$I315,4294967296)</f>
        <v>4293075565</v>
      </c>
      <c r="L315" s="7">
        <f>$K314</f>
        <v>980988583</v>
      </c>
      <c r="M315" s="7">
        <f>$L314</f>
        <v>1059336874</v>
      </c>
    </row>
    <row r="316" spans="1:13">
      <c r="A316" s="7">
        <v>5</v>
      </c>
      <c r="B316" s="7">
        <v>53</v>
      </c>
      <c r="C316" s="7">
        <f>INDEX(Sheet2!$B$2:$B$65,$B316+1)</f>
        <v>2399980690</v>
      </c>
      <c r="D316" s="7">
        <f>INDEX(Sheet2!$C$2:$C$65,$B316+1)</f>
        <v>10</v>
      </c>
      <c r="E316" s="7">
        <f>INDEX(Sheet2!$D$2:$D$65,$B316+1)</f>
        <v>3</v>
      </c>
      <c r="F316" s="7">
        <f>INDEX(Sheet3!$AY$2:$BN$11,$A316,$E316+1)</f>
        <v>1953248371</v>
      </c>
      <c r="G316" s="7">
        <f>IF($B316&lt;16,_xlfn.BITOR(_xlfn.BITAND($K315,$L315),_xlfn.BITAND(4294967295-$K315,$M315)),IF($B316&lt;32,_xlfn.BITOR(_xlfn.BITAND($M315,$K315),_xlfn.BITAND(4294967295-$M315,$L315)),IF($B316&lt;48,_xlfn.BITXOR(_xlfn.BITXOR($K315,$L315),$M315),_xlfn.BITXOR($L315,_xlfn.BITOR($K315,4294967295-$M315)))))</f>
        <v>3313720794</v>
      </c>
      <c r="H316" s="7">
        <f>MOD($G316+$J315+$C316+$F316,4294967296)</f>
        <v>664943451</v>
      </c>
      <c r="I316" s="7">
        <f>MOD($H316,2^(32-$D316))*2^$D316+INT($H316/2^(32-$D316))</f>
        <v>2297261214</v>
      </c>
      <c r="J316" s="7">
        <f>$M315</f>
        <v>1059336874</v>
      </c>
      <c r="K316" s="7">
        <f>MOD($K315+$I316,4294967296)</f>
        <v>2295369483</v>
      </c>
      <c r="L316" s="7">
        <f>$K315</f>
        <v>4293075565</v>
      </c>
      <c r="M316" s="7">
        <f>$L315</f>
        <v>980988583</v>
      </c>
    </row>
    <row r="317" spans="1:13">
      <c r="A317" s="7">
        <v>5</v>
      </c>
      <c r="B317" s="7">
        <v>54</v>
      </c>
      <c r="C317" s="7">
        <f>INDEX(Sheet2!$B$2:$B$65,$B317+1)</f>
        <v>4293915773</v>
      </c>
      <c r="D317" s="7">
        <f>INDEX(Sheet2!$C$2:$C$65,$B317+1)</f>
        <v>15</v>
      </c>
      <c r="E317" s="7">
        <f>INDEX(Sheet2!$D$2:$D$65,$B317+1)</f>
        <v>10</v>
      </c>
      <c r="F317" s="7">
        <f>INDEX(Sheet3!$AY$2:$BN$11,$A317,$E317+1)</f>
        <v>0</v>
      </c>
      <c r="G317" s="7">
        <f>IF($B317&lt;16,_xlfn.BITOR(_xlfn.BITAND($K316,$L316),_xlfn.BITAND(4294967295-$K316,$M316)),IF($B317&lt;32,_xlfn.BITOR(_xlfn.BITAND($M316,$K316),_xlfn.BITAND(4294967295-$M316,$L316)),IF($B317&lt;48,_xlfn.BITXOR(_xlfn.BITXOR($K316,$L316),$M316),_xlfn.BITXOR($L316,_xlfn.BITOR($K316,4294967295-$M316)))))</f>
        <v>842329398</v>
      </c>
      <c r="H317" s="7">
        <f>MOD($G317+$J316+$C317+$F317,4294967296)</f>
        <v>1900614749</v>
      </c>
      <c r="I317" s="7">
        <f>MOD($H317,2^(32-$D317))*2^$D317+INT($H317/2^(32-$D317))</f>
        <v>2318317732</v>
      </c>
      <c r="J317" s="7">
        <f>$M316</f>
        <v>980988583</v>
      </c>
      <c r="K317" s="7">
        <f>MOD($K316+$I317,4294967296)</f>
        <v>318719919</v>
      </c>
      <c r="L317" s="7">
        <f>$K316</f>
        <v>2295369483</v>
      </c>
      <c r="M317" s="7">
        <f>$L316</f>
        <v>4293075565</v>
      </c>
    </row>
    <row r="318" spans="1:13">
      <c r="A318" s="7">
        <v>5</v>
      </c>
      <c r="B318" s="7">
        <v>55</v>
      </c>
      <c r="C318" s="7">
        <f>INDEX(Sheet2!$B$2:$B$65,$B318+1)</f>
        <v>2240044497</v>
      </c>
      <c r="D318" s="7">
        <f>INDEX(Sheet2!$C$2:$C$65,$B318+1)</f>
        <v>21</v>
      </c>
      <c r="E318" s="7">
        <f>INDEX(Sheet2!$D$2:$D$65,$B318+1)</f>
        <v>1</v>
      </c>
      <c r="F318" s="7">
        <f>INDEX(Sheet3!$AY$2:$BN$11,$A318,$E318+1)</f>
        <v>862876511</v>
      </c>
      <c r="G318" s="7">
        <f>IF($B318&lt;16,_xlfn.BITOR(_xlfn.BITAND($K317,$L317),_xlfn.BITAND(4294967295-$K317,$M317)),IF($B318&lt;32,_xlfn.BITOR(_xlfn.BITAND($M317,$K317),_xlfn.BITAND(4294967295-$M317,$L317)),IF($B318&lt;48,_xlfn.BITXOR(_xlfn.BITXOR($K317,$L317),$M317),_xlfn.BITXOR($L317,_xlfn.BITOR($K317,4294967295-$M317)))))</f>
        <v>2586792116</v>
      </c>
      <c r="H318" s="7">
        <f>MOD($G318+$J317+$C318+$F318,4294967296)</f>
        <v>2375734411</v>
      </c>
      <c r="I318" s="7">
        <f>MOD($H318,2^(32-$D318))*2^$D318+INT($H318/2^(32-$D318))</f>
        <v>2440147802</v>
      </c>
      <c r="J318" s="7">
        <f>$M317</f>
        <v>4293075565</v>
      </c>
      <c r="K318" s="7">
        <f>MOD($K317+$I318,4294967296)</f>
        <v>2758867721</v>
      </c>
      <c r="L318" s="7">
        <f>$K317</f>
        <v>318719919</v>
      </c>
      <c r="M318" s="7">
        <f>$L317</f>
        <v>2295369483</v>
      </c>
    </row>
    <row r="319" spans="1:13">
      <c r="A319" s="7">
        <v>5</v>
      </c>
      <c r="B319" s="7">
        <v>56</v>
      </c>
      <c r="C319" s="7">
        <f>INDEX(Sheet2!$B$2:$B$65,$B319+1)</f>
        <v>1873313359</v>
      </c>
      <c r="D319" s="7">
        <f>INDEX(Sheet2!$C$2:$C$65,$B319+1)</f>
        <v>6</v>
      </c>
      <c r="E319" s="7">
        <f>INDEX(Sheet2!$D$2:$D$65,$B319+1)</f>
        <v>8</v>
      </c>
      <c r="F319" s="7">
        <f>INDEX(Sheet3!$AY$2:$BN$11,$A319,$E319+1)</f>
        <v>0</v>
      </c>
      <c r="G319" s="7">
        <f>IF($B319&lt;16,_xlfn.BITOR(_xlfn.BITAND($K318,$L318),_xlfn.BITAND(4294967295-$K318,$M318)),IF($B319&lt;32,_xlfn.BITOR(_xlfn.BITAND($M318,$K318),_xlfn.BITAND(4294967295-$M318,$L318)),IF($B319&lt;48,_xlfn.BITXOR(_xlfn.BITXOR($K318,$L318),$M318),_xlfn.BITXOR($L318,_xlfn.BITOR($K318,4294967295-$M318)))))</f>
        <v>3850419282</v>
      </c>
      <c r="H319" s="7">
        <f>MOD($G319+$J318+$C319+$F319,4294967296)</f>
        <v>1426873614</v>
      </c>
      <c r="I319" s="7">
        <f>MOD($H319,2^(32-$D319))*2^$D319+INT($H319/2^(32-$D319))</f>
        <v>1125598101</v>
      </c>
      <c r="J319" s="7">
        <f>$M318</f>
        <v>2295369483</v>
      </c>
      <c r="K319" s="7">
        <f>MOD($K318+$I319,4294967296)</f>
        <v>3884465822</v>
      </c>
      <c r="L319" s="7">
        <f>$K318</f>
        <v>2758867721</v>
      </c>
      <c r="M319" s="7">
        <f>$L318</f>
        <v>318719919</v>
      </c>
    </row>
    <row r="320" spans="1:13">
      <c r="A320" s="7">
        <v>5</v>
      </c>
      <c r="B320" s="7">
        <v>57</v>
      </c>
      <c r="C320" s="7">
        <f>INDEX(Sheet2!$B$2:$B$65,$B320+1)</f>
        <v>4264355552</v>
      </c>
      <c r="D320" s="7">
        <f>INDEX(Sheet2!$C$2:$C$65,$B320+1)</f>
        <v>10</v>
      </c>
      <c r="E320" s="7">
        <f>INDEX(Sheet2!$D$2:$D$65,$B320+1)</f>
        <v>15</v>
      </c>
      <c r="F320" s="7">
        <f>INDEX(Sheet3!$AY$2:$BN$11,$A320,$E320+1)</f>
        <v>0</v>
      </c>
      <c r="G320" s="7">
        <f>IF($B320&lt;16,_xlfn.BITOR(_xlfn.BITAND($K319,$L319),_xlfn.BITAND(4294967295-$K319,$M319)),IF($B320&lt;32,_xlfn.BITOR(_xlfn.BITAND($M319,$K319),_xlfn.BITAND(4294967295-$M319,$L319)),IF($B320&lt;48,_xlfn.BITXOR(_xlfn.BITXOR($K319,$L319),$M319),_xlfn.BITXOR($L319,_xlfn.BITOR($K319,4294967295-$M319)))))</f>
        <v>1274562007</v>
      </c>
      <c r="H320" s="7">
        <f>MOD($G320+$J319+$C320+$F320,4294967296)</f>
        <v>3539319746</v>
      </c>
      <c r="I320" s="7">
        <f>MOD($H320,2^(32-$D320))*2^$D320+INT($H320/2^(32-$D320))</f>
        <v>3605990219</v>
      </c>
      <c r="J320" s="7">
        <f>$M319</f>
        <v>318719919</v>
      </c>
      <c r="K320" s="7">
        <f>MOD($K319+$I320,4294967296)</f>
        <v>3195488745</v>
      </c>
      <c r="L320" s="7">
        <f>$K319</f>
        <v>3884465822</v>
      </c>
      <c r="M320" s="7">
        <f>$L319</f>
        <v>2758867721</v>
      </c>
    </row>
    <row r="321" spans="1:13">
      <c r="A321" s="7">
        <v>5</v>
      </c>
      <c r="B321" s="7">
        <v>58</v>
      </c>
      <c r="C321" s="7">
        <f>INDEX(Sheet2!$B$2:$B$65,$B321+1)</f>
        <v>2734768916</v>
      </c>
      <c r="D321" s="7">
        <f>INDEX(Sheet2!$C$2:$C$65,$B321+1)</f>
        <v>15</v>
      </c>
      <c r="E321" s="7">
        <f>INDEX(Sheet2!$D$2:$D$65,$B321+1)</f>
        <v>6</v>
      </c>
      <c r="F321" s="7">
        <f>INDEX(Sheet3!$AY$2:$BN$11,$A321,$E321+1)</f>
        <v>0</v>
      </c>
      <c r="G321" s="7">
        <f>IF($B321&lt;16,_xlfn.BITOR(_xlfn.BITAND($K320,$L320),_xlfn.BITAND(4294967295-$K320,$M320)),IF($B321&lt;32,_xlfn.BITOR(_xlfn.BITAND($M320,$K320),_xlfn.BITAND(4294967295-$M320,$L320)),IF($B321&lt;48,_xlfn.BITXOR(_xlfn.BITXOR($K320,$L320),$M320),_xlfn.BITXOR($L320,_xlfn.BITOR($K320,4294967295-$M320)))))</f>
        <v>410481505</v>
      </c>
      <c r="H321" s="7">
        <f>MOD($G321+$J320+$C321+$F321,4294967296)</f>
        <v>3463970340</v>
      </c>
      <c r="I321" s="7">
        <f>MOD($H321,2^(32-$D321))*2^$D321+INT($H321/2^(32-$D321))</f>
        <v>4279396155</v>
      </c>
      <c r="J321" s="7">
        <f>$M320</f>
        <v>2758867721</v>
      </c>
      <c r="K321" s="7">
        <f>MOD($K320+$I321,4294967296)</f>
        <v>3179917604</v>
      </c>
      <c r="L321" s="7">
        <f>$K320</f>
        <v>3195488745</v>
      </c>
      <c r="M321" s="7">
        <f>$L320</f>
        <v>3884465822</v>
      </c>
    </row>
    <row r="322" spans="1:13">
      <c r="A322" s="7">
        <v>5</v>
      </c>
      <c r="B322" s="7">
        <v>59</v>
      </c>
      <c r="C322" s="7">
        <f>INDEX(Sheet2!$B$2:$B$65,$B322+1)</f>
        <v>1309151649</v>
      </c>
      <c r="D322" s="7">
        <f>INDEX(Sheet2!$C$2:$C$65,$B322+1)</f>
        <v>21</v>
      </c>
      <c r="E322" s="7">
        <f>INDEX(Sheet2!$D$2:$D$65,$B322+1)</f>
        <v>13</v>
      </c>
      <c r="F322" s="7">
        <f>INDEX(Sheet3!$AY$2:$BN$11,$A322,$E322+1)</f>
        <v>0</v>
      </c>
      <c r="G322" s="7">
        <f>IF($B322&lt;16,_xlfn.BITOR(_xlfn.BITAND($K321,$L321),_xlfn.BITAND(4294967295-$K321,$M321)),IF($B322&lt;32,_xlfn.BITOR(_xlfn.BITAND($M321,$K321),_xlfn.BITAND(4294967295-$M321,$L321)),IF($B322&lt;48,_xlfn.BITXOR(_xlfn.BITXOR($K321,$L321),$M321),_xlfn.BITXOR($L321,_xlfn.BITOR($K321,4294967295-$M321)))))</f>
        <v>59291788</v>
      </c>
      <c r="H322" s="7">
        <f>MOD($G322+$J321+$C322+$F322,4294967296)</f>
        <v>4127311158</v>
      </c>
      <c r="I322" s="7">
        <f>MOD($H322,2^(32-$D322))*2^$D322+INT($H322/2^(32-$D322))</f>
        <v>2799616056</v>
      </c>
      <c r="J322" s="7">
        <f>$M321</f>
        <v>3884465822</v>
      </c>
      <c r="K322" s="7">
        <f>MOD($K321+$I322,4294967296)</f>
        <v>1684566364</v>
      </c>
      <c r="L322" s="7">
        <f>$K321</f>
        <v>3179917604</v>
      </c>
      <c r="M322" s="7">
        <f>$L321</f>
        <v>3195488745</v>
      </c>
    </row>
    <row r="323" spans="1:13">
      <c r="A323" s="7">
        <v>5</v>
      </c>
      <c r="B323" s="7">
        <v>60</v>
      </c>
      <c r="C323" s="7">
        <f>INDEX(Sheet2!$B$2:$B$65,$B323+1)</f>
        <v>4149444226</v>
      </c>
      <c r="D323" s="7">
        <f>INDEX(Sheet2!$C$2:$C$65,$B323+1)</f>
        <v>6</v>
      </c>
      <c r="E323" s="7">
        <f>INDEX(Sheet2!$D$2:$D$65,$B323+1)</f>
        <v>4</v>
      </c>
      <c r="F323" s="7">
        <f>INDEX(Sheet3!$AY$2:$BN$11,$A323,$E323+1)</f>
        <v>2151628607</v>
      </c>
      <c r="G323" s="7">
        <f>IF($B323&lt;16,_xlfn.BITOR(_xlfn.BITAND($K322,$L322),_xlfn.BITAND(4294967295-$K322,$M322)),IF($B323&lt;32,_xlfn.BITOR(_xlfn.BITAND($M322,$K322),_xlfn.BITAND(4294967295-$M322,$L322)),IF($B323&lt;48,_xlfn.BITXOR(_xlfn.BITXOR($K322,$L322),$M322),_xlfn.BITXOR($L322,_xlfn.BITOR($K322,4294967295-$M322)))))</f>
        <v>3630253690</v>
      </c>
      <c r="H323" s="7">
        <f>MOD($G323+$J322+$C323+$F323,4294967296)</f>
        <v>930890457</v>
      </c>
      <c r="I323" s="7">
        <f>MOD($H323,2^(32-$D323))*2^$D323+INT($H323/2^(32-$D323))</f>
        <v>3742414413</v>
      </c>
      <c r="J323" s="7">
        <f>$M322</f>
        <v>3195488745</v>
      </c>
      <c r="K323" s="7">
        <f>MOD($K322+$I323,4294967296)</f>
        <v>1132013481</v>
      </c>
      <c r="L323" s="7">
        <f>$K322</f>
        <v>1684566364</v>
      </c>
      <c r="M323" s="7">
        <f>$L322</f>
        <v>3179917604</v>
      </c>
    </row>
    <row r="324" spans="1:13">
      <c r="A324" s="7">
        <v>5</v>
      </c>
      <c r="B324" s="7">
        <v>61</v>
      </c>
      <c r="C324" s="7">
        <f>INDEX(Sheet2!$B$2:$B$65,$B324+1)</f>
        <v>3174756917</v>
      </c>
      <c r="D324" s="7">
        <f>INDEX(Sheet2!$C$2:$C$65,$B324+1)</f>
        <v>10</v>
      </c>
      <c r="E324" s="7">
        <f>INDEX(Sheet2!$D$2:$D$65,$B324+1)</f>
        <v>11</v>
      </c>
      <c r="F324" s="7">
        <f>INDEX(Sheet3!$AY$2:$BN$11,$A324,$E324+1)</f>
        <v>0</v>
      </c>
      <c r="G324" s="7">
        <f>IF($B324&lt;16,_xlfn.BITOR(_xlfn.BITAND($K323,$L323),_xlfn.BITAND(4294967295-$K323,$M323)),IF($B324&lt;32,_xlfn.BITOR(_xlfn.BITAND($M323,$K323),_xlfn.BITAND(4294967295-$M323,$L323)),IF($B324&lt;48,_xlfn.BITXOR(_xlfn.BITXOR($K323,$L323),$M323),_xlfn.BITXOR($L323,_xlfn.BITOR($K323,4294967295-$M323)))))</f>
        <v>655826599</v>
      </c>
      <c r="H324" s="7">
        <f>MOD($G324+$J323+$C324+$F324,4294967296)</f>
        <v>2731104965</v>
      </c>
      <c r="I324" s="7">
        <f>MOD($H324,2^(32-$D324))*2^$D324+INT($H324/2^(32-$D324))</f>
        <v>627775115</v>
      </c>
      <c r="J324" s="7">
        <f>$M323</f>
        <v>3179917604</v>
      </c>
      <c r="K324" s="7">
        <f>MOD($K323+$I324,4294967296)</f>
        <v>1759788596</v>
      </c>
      <c r="L324" s="7">
        <f>$K323</f>
        <v>1132013481</v>
      </c>
      <c r="M324" s="7">
        <f>$L323</f>
        <v>1684566364</v>
      </c>
    </row>
    <row r="325" spans="1:13">
      <c r="A325" s="7">
        <v>5</v>
      </c>
      <c r="B325" s="7">
        <v>62</v>
      </c>
      <c r="C325" s="7">
        <f>INDEX(Sheet2!$B$2:$B$65,$B325+1)</f>
        <v>718787259</v>
      </c>
      <c r="D325" s="7">
        <f>INDEX(Sheet2!$C$2:$C$65,$B325+1)</f>
        <v>15</v>
      </c>
      <c r="E325" s="7">
        <f>INDEX(Sheet2!$D$2:$D$65,$B325+1)</f>
        <v>2</v>
      </c>
      <c r="F325" s="7">
        <f>INDEX(Sheet3!$AY$2:$BN$11,$A325,$E325+1)</f>
        <v>1601792820</v>
      </c>
      <c r="G325" s="7">
        <f>IF($B325&lt;16,_xlfn.BITOR(_xlfn.BITAND($K324,$L324),_xlfn.BITAND(4294967295-$K324,$M324)),IF($B325&lt;32,_xlfn.BITOR(_xlfn.BITAND($M324,$K324),_xlfn.BITAND(4294967295-$M324,$L324)),IF($B325&lt;48,_xlfn.BITXOR(_xlfn.BITXOR($K324,$L324),$M324),_xlfn.BITXOR($L324,_xlfn.BITOR($K324,4294967295-$M324)))))</f>
        <v>3096353054</v>
      </c>
      <c r="H325" s="7">
        <f>MOD($G325+$J324+$C325+$F325,4294967296)</f>
        <v>6916145</v>
      </c>
      <c r="I325" s="7">
        <f>MOD($H325,2^(32-$D325))*2^$D325+INT($H325/2^(32-$D325))</f>
        <v>3289940020</v>
      </c>
      <c r="J325" s="7">
        <f>$M324</f>
        <v>1684566364</v>
      </c>
      <c r="K325" s="7">
        <f>MOD($K324+$I325,4294967296)</f>
        <v>754761320</v>
      </c>
      <c r="L325" s="7">
        <f>$K324</f>
        <v>1759788596</v>
      </c>
      <c r="M325" s="7">
        <f>$L324</f>
        <v>1132013481</v>
      </c>
    </row>
    <row r="326" spans="1:13">
      <c r="A326" s="7">
        <v>5</v>
      </c>
      <c r="B326" s="7">
        <v>63</v>
      </c>
      <c r="C326" s="7">
        <f>INDEX(Sheet2!$B$2:$B$65,$B326+1)</f>
        <v>3951481745</v>
      </c>
      <c r="D326" s="7">
        <f>INDEX(Sheet2!$C$2:$C$65,$B326+1)</f>
        <v>21</v>
      </c>
      <c r="E326" s="7">
        <f>INDEX(Sheet2!$D$2:$D$65,$B326+1)</f>
        <v>9</v>
      </c>
      <c r="F326" s="7">
        <f>INDEX(Sheet3!$AY$2:$BN$11,$A326,$E326+1)</f>
        <v>0</v>
      </c>
      <c r="G326" s="7">
        <f>IF($B326&lt;16,_xlfn.BITOR(_xlfn.BITAND($K325,$L325),_xlfn.BITAND(4294967295-$K325,$M325)),IF($B326&lt;32,_xlfn.BITOR(_xlfn.BITAND($M325,$K325),_xlfn.BITAND(4294967295-$M325,$L325)),IF($B326&lt;48,_xlfn.BITXOR(_xlfn.BITXOR($K325,$L325),$M325),_xlfn.BITXOR($L325,_xlfn.BITOR($K325,4294967295-$M325)))))</f>
        <v>3558522954</v>
      </c>
      <c r="H326" s="7">
        <f>MOD($G326+$J325+$C326+$F326,4294967296)</f>
        <v>604636471</v>
      </c>
      <c r="I326" s="7">
        <f>MOD($H326,2^(32-$D326))*2^$D326+INT($H326/2^(32-$D326))</f>
        <v>2799993152</v>
      </c>
      <c r="J326" s="7">
        <f>$M325</f>
        <v>1132013481</v>
      </c>
      <c r="K326" s="7">
        <f>MOD($K325+$I326,4294967296)</f>
        <v>3554754472</v>
      </c>
      <c r="L326" s="7">
        <f>$K325</f>
        <v>754761320</v>
      </c>
      <c r="M326" s="7">
        <f>$L325</f>
        <v>1759788596</v>
      </c>
    </row>
    <row r="327" spans="1:13">
      <c r="A327" s="8">
        <v>6</v>
      </c>
      <c r="B327" s="8">
        <v>-1</v>
      </c>
      <c r="J327" s="8">
        <v>1732584193</v>
      </c>
      <c r="K327" s="8">
        <v>4023233417</v>
      </c>
      <c r="L327" s="8">
        <v>2562383102</v>
      </c>
      <c r="M327" s="8">
        <v>271733878</v>
      </c>
    </row>
    <row r="328" spans="1:13">
      <c r="A328" s="7">
        <v>6</v>
      </c>
      <c r="B328" s="7">
        <v>0</v>
      </c>
      <c r="C328" s="7">
        <f>INDEX(Sheet2!$B$2:$B$65,$B328+1)</f>
        <v>3614090360</v>
      </c>
      <c r="D328" s="7">
        <f>INDEX(Sheet2!$C$2:$C$65,$B328+1)</f>
        <v>7</v>
      </c>
      <c r="E328" s="7">
        <f>INDEX(Sheet2!$D$2:$D$65,$B328+1)</f>
        <v>0</v>
      </c>
      <c r="F328" s="7">
        <f>INDEX(Sheet3!$AY$2:$BN$11,$A328,$E328+1)</f>
        <v>1701654643</v>
      </c>
      <c r="G328" s="7">
        <f>IF($B328&lt;16,_xlfn.BITOR(_xlfn.BITAND($K327,$L327),_xlfn.BITAND(4294967295-$K327,$M327)),IF($B328&lt;32,_xlfn.BITOR(_xlfn.BITAND($M327,$K327),_xlfn.BITAND(4294967295-$M327,$L327)),IF($B328&lt;48,_xlfn.BITXOR(_xlfn.BITXOR($K327,$L327),$M327),_xlfn.BITXOR($L327,_xlfn.BITOR($K327,4294967295-$M327)))))</f>
        <v>2562383102</v>
      </c>
      <c r="H328" s="7">
        <f>MOD($G328+$J327+$C328+$F328,4294967296)</f>
        <v>1020777706</v>
      </c>
      <c r="I328" s="7">
        <f>MOD($H328,2^(32-$D328))*2^$D328+INT($H328/2^(32-$D328))</f>
        <v>1810527518</v>
      </c>
      <c r="J328" s="7">
        <f>$M327</f>
        <v>271733878</v>
      </c>
      <c r="K328" s="7">
        <f>MOD($K327+$I328,4294967296)</f>
        <v>1538793639</v>
      </c>
      <c r="L328" s="7">
        <f>$K327</f>
        <v>4023233417</v>
      </c>
      <c r="M328" s="7">
        <f>$L327</f>
        <v>2562383102</v>
      </c>
    </row>
    <row r="329" spans="1:13">
      <c r="A329" s="7">
        <v>6</v>
      </c>
      <c r="B329" s="7">
        <v>1</v>
      </c>
      <c r="C329" s="7">
        <f>INDEX(Sheet2!$B$2:$B$65,$B329+1)</f>
        <v>3905402710</v>
      </c>
      <c r="D329" s="7">
        <f>INDEX(Sheet2!$C$2:$C$65,$B329+1)</f>
        <v>12</v>
      </c>
      <c r="E329" s="7">
        <f>INDEX(Sheet2!$D$2:$D$65,$B329+1)</f>
        <v>1</v>
      </c>
      <c r="F329" s="7">
        <f>INDEX(Sheet3!$AY$2:$BN$11,$A329,$E329+1)</f>
        <v>862876511</v>
      </c>
      <c r="G329" s="7">
        <f>IF($B329&lt;16,_xlfn.BITOR(_xlfn.BITAND($K328,$L328),_xlfn.BITAND(4294967295-$K328,$M328)),IF($B329&lt;32,_xlfn.BITOR(_xlfn.BITAND($M328,$K328),_xlfn.BITAND(4294967295-$M328,$L328)),IF($B329&lt;48,_xlfn.BITXOR(_xlfn.BITXOR($K328,$L328),$M328),_xlfn.BITXOR($L328,_xlfn.BITOR($K328,4294967295-$M328)))))</f>
        <v>3414883545</v>
      </c>
      <c r="H329" s="7">
        <f>MOD($G329+$J328+$C329+$F329,4294967296)</f>
        <v>4159929348</v>
      </c>
      <c r="I329" s="7">
        <f>MOD($H329,2^(32-$D329))*2^$D329+INT($H329/2^(32-$D329))</f>
        <v>935350143</v>
      </c>
      <c r="J329" s="7">
        <f>$M328</f>
        <v>2562383102</v>
      </c>
      <c r="K329" s="7">
        <f>MOD($K328+$I329,4294967296)</f>
        <v>2474143782</v>
      </c>
      <c r="L329" s="7">
        <f>$K328</f>
        <v>1538793639</v>
      </c>
      <c r="M329" s="7">
        <f>$L328</f>
        <v>4023233417</v>
      </c>
    </row>
    <row r="330" spans="1:13">
      <c r="A330" s="7">
        <v>6</v>
      </c>
      <c r="B330" s="7">
        <v>2</v>
      </c>
      <c r="C330" s="7">
        <f>INDEX(Sheet2!$B$2:$B$65,$B330+1)</f>
        <v>606105819</v>
      </c>
      <c r="D330" s="7">
        <f>INDEX(Sheet2!$C$2:$C$65,$B330+1)</f>
        <v>17</v>
      </c>
      <c r="E330" s="7">
        <f>INDEX(Sheet2!$D$2:$D$65,$B330+1)</f>
        <v>2</v>
      </c>
      <c r="F330" s="7">
        <f>INDEX(Sheet3!$AY$2:$BN$11,$A330,$E330+1)</f>
        <v>1601792820</v>
      </c>
      <c r="G330" s="7">
        <f>IF($B330&lt;16,_xlfn.BITOR(_xlfn.BITAND($K329,$L329),_xlfn.BITAND(4294967295-$K329,$M329)),IF($B330&lt;32,_xlfn.BITOR(_xlfn.BITAND($M329,$K329),_xlfn.BITAND(4294967295-$M329,$L329)),IF($B330&lt;48,_xlfn.BITXOR(_xlfn.BITXOR($K329,$L329),$M329),_xlfn.BITXOR($L329,_xlfn.BITOR($K329,4294967295-$M329)))))</f>
        <v>2143136687</v>
      </c>
      <c r="H330" s="7">
        <f>MOD($G330+$J329+$C330+$F330,4294967296)</f>
        <v>2618451132</v>
      </c>
      <c r="I330" s="7">
        <f>MOD($H330,2^(32-$D330))*2^$D330+INT($H330/2^(32-$D330))</f>
        <v>3380164644</v>
      </c>
      <c r="J330" s="7">
        <f>$M329</f>
        <v>4023233417</v>
      </c>
      <c r="K330" s="7">
        <f>MOD($K329+$I330,4294967296)</f>
        <v>1559341130</v>
      </c>
      <c r="L330" s="7">
        <f>$K329</f>
        <v>2474143782</v>
      </c>
      <c r="M330" s="7">
        <f>$L329</f>
        <v>1538793639</v>
      </c>
    </row>
    <row r="331" spans="1:13">
      <c r="A331" s="7">
        <v>6</v>
      </c>
      <c r="B331" s="7">
        <v>3</v>
      </c>
      <c r="C331" s="7">
        <f>INDEX(Sheet2!$B$2:$B$65,$B331+1)</f>
        <v>3250441966</v>
      </c>
      <c r="D331" s="7">
        <f>INDEX(Sheet2!$C$2:$C$65,$B331+1)</f>
        <v>22</v>
      </c>
      <c r="E331" s="7">
        <f>INDEX(Sheet2!$D$2:$D$65,$B331+1)</f>
        <v>3</v>
      </c>
      <c r="F331" s="7">
        <f>INDEX(Sheet3!$AY$2:$BN$11,$A331,$E331+1)</f>
        <v>1953248371</v>
      </c>
      <c r="G331" s="7">
        <f>IF($B331&lt;16,_xlfn.BITOR(_xlfn.BITAND($K330,$L330),_xlfn.BITAND(4294967295-$K330,$M330)),IF($B331&lt;32,_xlfn.BITOR(_xlfn.BITAND($M330,$K330),_xlfn.BITAND(4294967295-$M330,$L330)),IF($B331&lt;48,_xlfn.BITXOR(_xlfn.BITXOR($K330,$L330),$M330),_xlfn.BITXOR($L330,_xlfn.BITOR($K330,4294967295-$M330)))))</f>
        <v>326639783</v>
      </c>
      <c r="H331" s="7">
        <f>MOD($G331+$J330+$C331+$F331,4294967296)</f>
        <v>963628945</v>
      </c>
      <c r="I331" s="7">
        <f>MOD($H331,2^(32-$D331))*2^$D331+INT($H331/2^(32-$D331))</f>
        <v>3830340595</v>
      </c>
      <c r="J331" s="7">
        <f>$M330</f>
        <v>1538793639</v>
      </c>
      <c r="K331" s="7">
        <f>MOD($K330+$I331,4294967296)</f>
        <v>1094714429</v>
      </c>
      <c r="L331" s="7">
        <f>$K330</f>
        <v>1559341130</v>
      </c>
      <c r="M331" s="7">
        <f>$L330</f>
        <v>2474143782</v>
      </c>
    </row>
    <row r="332" spans="1:13">
      <c r="A332" s="7">
        <v>6</v>
      </c>
      <c r="B332" s="7">
        <v>4</v>
      </c>
      <c r="C332" s="7">
        <f>INDEX(Sheet2!$B$2:$B$65,$B332+1)</f>
        <v>4118548399</v>
      </c>
      <c r="D332" s="7">
        <f>INDEX(Sheet2!$C$2:$C$65,$B332+1)</f>
        <v>7</v>
      </c>
      <c r="E332" s="7">
        <f>INDEX(Sheet2!$D$2:$D$65,$B332+1)</f>
        <v>4</v>
      </c>
      <c r="F332" s="7">
        <f>INDEX(Sheet3!$AY$2:$BN$11,$A332,$E332+1)</f>
        <v>2151628607</v>
      </c>
      <c r="G332" s="7">
        <f>IF($B332&lt;16,_xlfn.BITOR(_xlfn.BITAND($K331,$L331),_xlfn.BITAND(4294967295-$K331,$M331)),IF($B332&lt;32,_xlfn.BITOR(_xlfn.BITAND($M331,$K331),_xlfn.BITAND(4294967295-$M331,$L331)),IF($B332&lt;48,_xlfn.BITXOR(_xlfn.BITXOR($K331,$L331),$M331),_xlfn.BITXOR($L331,_xlfn.BITOR($K331,4294967295-$M331)))))</f>
        <v>3531108362</v>
      </c>
      <c r="H332" s="7">
        <f>MOD($G332+$J331+$C332+$F332,4294967296)</f>
        <v>2750144415</v>
      </c>
      <c r="I332" s="7">
        <f>MOD($H332,2^(32-$D332))*2^$D332+INT($H332/2^(32-$D332))</f>
        <v>4126134225</v>
      </c>
      <c r="J332" s="7">
        <f>$M331</f>
        <v>2474143782</v>
      </c>
      <c r="K332" s="7">
        <f>MOD($K331+$I332,4294967296)</f>
        <v>925881358</v>
      </c>
      <c r="L332" s="7">
        <f>$K331</f>
        <v>1094714429</v>
      </c>
      <c r="M332" s="7">
        <f>$L331</f>
        <v>1559341130</v>
      </c>
    </row>
    <row r="333" spans="1:13">
      <c r="A333" s="7">
        <v>6</v>
      </c>
      <c r="B333" s="7">
        <v>5</v>
      </c>
      <c r="C333" s="7">
        <f>INDEX(Sheet2!$B$2:$B$65,$B333+1)</f>
        <v>1200080426</v>
      </c>
      <c r="D333" s="7">
        <f>INDEX(Sheet2!$C$2:$C$65,$B333+1)</f>
        <v>12</v>
      </c>
      <c r="E333" s="7">
        <f>INDEX(Sheet2!$D$2:$D$65,$B333+1)</f>
        <v>5</v>
      </c>
      <c r="F333" s="7">
        <f>INDEX(Sheet3!$AY$2:$BN$11,$A333,$E333+1)</f>
        <v>0</v>
      </c>
      <c r="G333" s="7">
        <f>IF($B333&lt;16,_xlfn.BITOR(_xlfn.BITAND($K332,$L332),_xlfn.BITAND(4294967295-$K332,$M332)),IF($B333&lt;32,_xlfn.BITOR(_xlfn.BITAND($M332,$K332),_xlfn.BITAND(4294967295-$M332,$L332)),IF($B333&lt;48,_xlfn.BITXOR(_xlfn.BITXOR($K332,$L332),$M332),_xlfn.BITXOR($L332,_xlfn.BITOR($K332,4294967295-$M332)))))</f>
        <v>1238379596</v>
      </c>
      <c r="H333" s="7">
        <f>MOD($G333+$J332+$C333+$F333,4294967296)</f>
        <v>617636508</v>
      </c>
      <c r="I333" s="7">
        <f>MOD($H333,2^(32-$D333))*2^$D333+INT($H333/2^(32-$D333))</f>
        <v>103400013</v>
      </c>
      <c r="J333" s="7">
        <f>$M332</f>
        <v>1559341130</v>
      </c>
      <c r="K333" s="7">
        <f>MOD($K332+$I333,4294967296)</f>
        <v>1029281371</v>
      </c>
      <c r="L333" s="7">
        <f>$K332</f>
        <v>925881358</v>
      </c>
      <c r="M333" s="7">
        <f>$L332</f>
        <v>1094714429</v>
      </c>
    </row>
    <row r="334" spans="1:13">
      <c r="A334" s="7">
        <v>6</v>
      </c>
      <c r="B334" s="7">
        <v>6</v>
      </c>
      <c r="C334" s="7">
        <f>INDEX(Sheet2!$B$2:$B$65,$B334+1)</f>
        <v>2821735955</v>
      </c>
      <c r="D334" s="7">
        <f>INDEX(Sheet2!$C$2:$C$65,$B334+1)</f>
        <v>17</v>
      </c>
      <c r="E334" s="7">
        <f>INDEX(Sheet2!$D$2:$D$65,$B334+1)</f>
        <v>6</v>
      </c>
      <c r="F334" s="7">
        <f>INDEX(Sheet3!$AY$2:$BN$11,$A334,$E334+1)</f>
        <v>0</v>
      </c>
      <c r="G334" s="7">
        <f>IF($B334&lt;16,_xlfn.BITOR(_xlfn.BITAND($K333,$L333),_xlfn.BITAND(4294967295-$K333,$M333)),IF($B334&lt;32,_xlfn.BITOR(_xlfn.BITAND($M333,$K333),_xlfn.BITAND(4294967295-$M333,$L333)),IF($B334&lt;48,_xlfn.BITXOR(_xlfn.BITXOR($K333,$L333),$M333),_xlfn.BITXOR($L333,_xlfn.BITOR($K333,4294967295-$M333)))))</f>
        <v>1963562030</v>
      </c>
      <c r="H334" s="7">
        <f>MOD($G334+$J333+$C334+$F334,4294967296)</f>
        <v>2049671819</v>
      </c>
      <c r="I334" s="7">
        <f>MOD($H334,2^(32-$D334))*2^$D334+INT($H334/2^(32-$D334))</f>
        <v>85390423</v>
      </c>
      <c r="J334" s="7">
        <f>$M333</f>
        <v>1094714429</v>
      </c>
      <c r="K334" s="7">
        <f>MOD($K333+$I334,4294967296)</f>
        <v>1114671794</v>
      </c>
      <c r="L334" s="7">
        <f>$K333</f>
        <v>1029281371</v>
      </c>
      <c r="M334" s="7">
        <f>$L333</f>
        <v>925881358</v>
      </c>
    </row>
    <row r="335" spans="1:13">
      <c r="A335" s="7">
        <v>6</v>
      </c>
      <c r="B335" s="7">
        <v>7</v>
      </c>
      <c r="C335" s="7">
        <f>INDEX(Sheet2!$B$2:$B$65,$B335+1)</f>
        <v>4249261313</v>
      </c>
      <c r="D335" s="7">
        <f>INDEX(Sheet2!$C$2:$C$65,$B335+1)</f>
        <v>22</v>
      </c>
      <c r="E335" s="7">
        <f>INDEX(Sheet2!$D$2:$D$65,$B335+1)</f>
        <v>7</v>
      </c>
      <c r="F335" s="7">
        <f>INDEX(Sheet3!$AY$2:$BN$11,$A335,$E335+1)</f>
        <v>0</v>
      </c>
      <c r="G335" s="7">
        <f>IF($B335&lt;16,_xlfn.BITOR(_xlfn.BITAND($K334,$L334),_xlfn.BITAND(4294967295-$K334,$M334)),IF($B335&lt;32,_xlfn.BITOR(_xlfn.BITAND($M334,$K334),_xlfn.BITAND(4294967295-$M334,$L334)),IF($B335&lt;48,_xlfn.BITXOR(_xlfn.BITXOR($K334,$L334),$M334),_xlfn.BITXOR($L334,_xlfn.BITOR($K334,4294967295-$M334)))))</f>
        <v>895473182</v>
      </c>
      <c r="H335" s="7">
        <f>MOD($G335+$J334+$C335+$F335,4294967296)</f>
        <v>1944481628</v>
      </c>
      <c r="I335" s="7">
        <f>MOD($H335,2^(32-$D335))*2^$D335+INT($H335/2^(32-$D335))</f>
        <v>3609000347</v>
      </c>
      <c r="J335" s="7">
        <f>$M334</f>
        <v>925881358</v>
      </c>
      <c r="K335" s="7">
        <f>MOD($K334+$I335,4294967296)</f>
        <v>428704845</v>
      </c>
      <c r="L335" s="7">
        <f>$K334</f>
        <v>1114671794</v>
      </c>
      <c r="M335" s="7">
        <f>$L334</f>
        <v>1029281371</v>
      </c>
    </row>
    <row r="336" spans="1:13">
      <c r="A336" s="7">
        <v>6</v>
      </c>
      <c r="B336" s="7">
        <v>8</v>
      </c>
      <c r="C336" s="7">
        <f>INDEX(Sheet2!$B$2:$B$65,$B336+1)</f>
        <v>1770035416</v>
      </c>
      <c r="D336" s="7">
        <f>INDEX(Sheet2!$C$2:$C$65,$B336+1)</f>
        <v>7</v>
      </c>
      <c r="E336" s="7">
        <f>INDEX(Sheet2!$D$2:$D$65,$B336+1)</f>
        <v>8</v>
      </c>
      <c r="F336" s="7">
        <f>INDEX(Sheet3!$AY$2:$BN$11,$A336,$E336+1)</f>
        <v>0</v>
      </c>
      <c r="G336" s="7">
        <f>IF($B336&lt;16,_xlfn.BITOR(_xlfn.BITAND($K335,$L335),_xlfn.BITAND(4294967295-$K335,$M335)),IF($B336&lt;32,_xlfn.BITOR(_xlfn.BITAND($M335,$K335),_xlfn.BITAND(4294967295-$M335,$L335)),IF($B336&lt;48,_xlfn.BITXOR(_xlfn.BITXOR($K335,$L335),$M335),_xlfn.BITXOR($L335,_xlfn.BITOR($K335,4294967295-$M335)))))</f>
        <v>609260050</v>
      </c>
      <c r="H336" s="7">
        <f>MOD($G336+$J335+$C336+$F336,4294967296)</f>
        <v>3305176824</v>
      </c>
      <c r="I336" s="7">
        <f>MOD($H336,2^(32-$D336))*2^$D336+INT($H336/2^(32-$D336))</f>
        <v>2155838562</v>
      </c>
      <c r="J336" s="7">
        <f>$M335</f>
        <v>1029281371</v>
      </c>
      <c r="K336" s="7">
        <f>MOD($K335+$I336,4294967296)</f>
        <v>2584543407</v>
      </c>
      <c r="L336" s="7">
        <f>$K335</f>
        <v>428704845</v>
      </c>
      <c r="M336" s="7">
        <f>$L335</f>
        <v>1114671794</v>
      </c>
    </row>
    <row r="337" spans="1:13">
      <c r="A337" s="7">
        <v>6</v>
      </c>
      <c r="B337" s="7">
        <v>9</v>
      </c>
      <c r="C337" s="7">
        <f>INDEX(Sheet2!$B$2:$B$65,$B337+1)</f>
        <v>2336552879</v>
      </c>
      <c r="D337" s="7">
        <f>INDEX(Sheet2!$C$2:$C$65,$B337+1)</f>
        <v>12</v>
      </c>
      <c r="E337" s="7">
        <f>INDEX(Sheet2!$D$2:$D$65,$B337+1)</f>
        <v>9</v>
      </c>
      <c r="F337" s="7">
        <f>INDEX(Sheet3!$AY$2:$BN$11,$A337,$E337+1)</f>
        <v>0</v>
      </c>
      <c r="G337" s="7">
        <f>IF($B337&lt;16,_xlfn.BITOR(_xlfn.BITAND($K336,$L336),_xlfn.BITAND(4294967295-$K336,$M336)),IF($B337&lt;32,_xlfn.BITOR(_xlfn.BITAND($M336,$K336),_xlfn.BITAND(4294967295-$M336,$L336)),IF($B337&lt;48,_xlfn.BITXOR(_xlfn.BITXOR($K336,$L336),$M336),_xlfn.BITXOR($L336,_xlfn.BITOR($K336,4294967295-$M336)))))</f>
        <v>1484622365</v>
      </c>
      <c r="H337" s="7">
        <f>MOD($G337+$J336+$C337+$F337,4294967296)</f>
        <v>555489319</v>
      </c>
      <c r="I337" s="7">
        <f>MOD($H337,2^(32-$D337))*2^$D337+INT($H337/2^(32-$D337))</f>
        <v>3246551569</v>
      </c>
      <c r="J337" s="7">
        <f>$M336</f>
        <v>1114671794</v>
      </c>
      <c r="K337" s="7">
        <f>MOD($K336+$I337,4294967296)</f>
        <v>1536127680</v>
      </c>
      <c r="L337" s="7">
        <f>$K336</f>
        <v>2584543407</v>
      </c>
      <c r="M337" s="7">
        <f>$L336</f>
        <v>428704845</v>
      </c>
    </row>
    <row r="338" spans="1:13">
      <c r="A338" s="7">
        <v>6</v>
      </c>
      <c r="B338" s="7">
        <v>10</v>
      </c>
      <c r="C338" s="7">
        <f>INDEX(Sheet2!$B$2:$B$65,$B338+1)</f>
        <v>4294925233</v>
      </c>
      <c r="D338" s="7">
        <f>INDEX(Sheet2!$C$2:$C$65,$B338+1)</f>
        <v>17</v>
      </c>
      <c r="E338" s="7">
        <f>INDEX(Sheet2!$D$2:$D$65,$B338+1)</f>
        <v>10</v>
      </c>
      <c r="F338" s="7">
        <f>INDEX(Sheet3!$AY$2:$BN$11,$A338,$E338+1)</f>
        <v>0</v>
      </c>
      <c r="G338" s="7">
        <f>IF($B338&lt;16,_xlfn.BITOR(_xlfn.BITAND($K337,$L337),_xlfn.BITAND(4294967295-$K337,$M337)),IF($B338&lt;32,_xlfn.BITOR(_xlfn.BITAND($M337,$K337),_xlfn.BITAND(4294967295-$M337,$L337)),IF($B338&lt;48,_xlfn.BITXOR(_xlfn.BITXOR($K337,$L337),$M337),_xlfn.BITXOR($L337,_xlfn.BITOR($K337,4294967295-$M337)))))</f>
        <v>437093517</v>
      </c>
      <c r="H338" s="7">
        <f>MOD($G338+$J337+$C338+$F338,4294967296)</f>
        <v>1551723248</v>
      </c>
      <c r="I338" s="7">
        <f>MOD($H338,2^(32-$D338))*2^$D338+INT($H338/2^(32-$D338))</f>
        <v>3588274426</v>
      </c>
      <c r="J338" s="7">
        <f>$M337</f>
        <v>428704845</v>
      </c>
      <c r="K338" s="7">
        <f>MOD($K337+$I338,4294967296)</f>
        <v>829434810</v>
      </c>
      <c r="L338" s="7">
        <f>$K337</f>
        <v>1536127680</v>
      </c>
      <c r="M338" s="7">
        <f>$L337</f>
        <v>2584543407</v>
      </c>
    </row>
    <row r="339" spans="1:13">
      <c r="A339" s="7">
        <v>6</v>
      </c>
      <c r="B339" s="7">
        <v>11</v>
      </c>
      <c r="C339" s="7">
        <f>INDEX(Sheet2!$B$2:$B$65,$B339+1)</f>
        <v>2304563134</v>
      </c>
      <c r="D339" s="7">
        <f>INDEX(Sheet2!$C$2:$C$65,$B339+1)</f>
        <v>22</v>
      </c>
      <c r="E339" s="7">
        <f>INDEX(Sheet2!$D$2:$D$65,$B339+1)</f>
        <v>11</v>
      </c>
      <c r="F339" s="7">
        <f>INDEX(Sheet3!$AY$2:$BN$11,$A339,$E339+1)</f>
        <v>0</v>
      </c>
      <c r="G339" s="7">
        <f>IF($B339&lt;16,_xlfn.BITOR(_xlfn.BITAND($K338,$L338),_xlfn.BITAND(4294967295-$K338,$M338)),IF($B339&lt;32,_xlfn.BITOR(_xlfn.BITAND($M338,$K338),_xlfn.BITAND(4294967295-$M338,$L338)),IF($B339&lt;48,_xlfn.BITXOR(_xlfn.BITXOR($K338,$L338),$M338),_xlfn.BITXOR($L338,_xlfn.BITOR($K338,4294967295-$M338)))))</f>
        <v>2601329285</v>
      </c>
      <c r="H339" s="7">
        <f>MOD($G339+$J338+$C339+$F339,4294967296)</f>
        <v>1039629968</v>
      </c>
      <c r="I339" s="7">
        <f>MOD($H339,2^(32-$D339))*2^$D339+INT($H339/2^(32-$D339))</f>
        <v>2752478687</v>
      </c>
      <c r="J339" s="7">
        <f>$M338</f>
        <v>2584543407</v>
      </c>
      <c r="K339" s="7">
        <f>MOD($K338+$I339,4294967296)</f>
        <v>3581913497</v>
      </c>
      <c r="L339" s="7">
        <f>$K338</f>
        <v>829434810</v>
      </c>
      <c r="M339" s="7">
        <f>$L338</f>
        <v>1536127680</v>
      </c>
    </row>
    <row r="340" spans="1:13">
      <c r="A340" s="7">
        <v>6</v>
      </c>
      <c r="B340" s="7">
        <v>12</v>
      </c>
      <c r="C340" s="7">
        <f>INDEX(Sheet2!$B$2:$B$65,$B340+1)</f>
        <v>1804603682</v>
      </c>
      <c r="D340" s="7">
        <f>INDEX(Sheet2!$C$2:$C$65,$B340+1)</f>
        <v>7</v>
      </c>
      <c r="E340" s="7">
        <f>INDEX(Sheet2!$D$2:$D$65,$B340+1)</f>
        <v>12</v>
      </c>
      <c r="F340" s="7">
        <f>INDEX(Sheet3!$AY$2:$BN$11,$A340,$E340+1)</f>
        <v>0</v>
      </c>
      <c r="G340" s="7">
        <f>IF($B340&lt;16,_xlfn.BITOR(_xlfn.BITAND($K339,$L339),_xlfn.BITAND(4294967295-$K339,$M339)),IF($B340&lt;32,_xlfn.BITOR(_xlfn.BITAND($M339,$K339),_xlfn.BITAND(4294967295-$M339,$L339)),IF($B340&lt;48,_xlfn.BITXOR(_xlfn.BITXOR($K339,$L339),$M339),_xlfn.BITXOR($L339,_xlfn.BITOR($K339,4294967295-$M339)))))</f>
        <v>468745176</v>
      </c>
      <c r="H340" s="7">
        <f>MOD($G340+$J339+$C340+$F340,4294967296)</f>
        <v>562924969</v>
      </c>
      <c r="I340" s="7">
        <f>MOD($H340,2^(32-$D340))*2^$D340+INT($H340/2^(32-$D340))</f>
        <v>3334919312</v>
      </c>
      <c r="J340" s="7">
        <f>$M339</f>
        <v>1536127680</v>
      </c>
      <c r="K340" s="7">
        <f>MOD($K339+$I340,4294967296)</f>
        <v>2621865513</v>
      </c>
      <c r="L340" s="7">
        <f>$K339</f>
        <v>3581913497</v>
      </c>
      <c r="M340" s="7">
        <f>$L339</f>
        <v>829434810</v>
      </c>
    </row>
    <row r="341" spans="1:13">
      <c r="A341" s="7">
        <v>6</v>
      </c>
      <c r="B341" s="7">
        <v>13</v>
      </c>
      <c r="C341" s="7">
        <f>INDEX(Sheet2!$B$2:$B$65,$B341+1)</f>
        <v>4254626195</v>
      </c>
      <c r="D341" s="7">
        <f>INDEX(Sheet2!$C$2:$C$65,$B341+1)</f>
        <v>12</v>
      </c>
      <c r="E341" s="7">
        <f>INDEX(Sheet2!$D$2:$D$65,$B341+1)</f>
        <v>13</v>
      </c>
      <c r="F341" s="7">
        <f>INDEX(Sheet3!$AY$2:$BN$11,$A341,$E341+1)</f>
        <v>0</v>
      </c>
      <c r="G341" s="7">
        <f>IF($B341&lt;16,_xlfn.BITOR(_xlfn.BITAND($K340,$L340),_xlfn.BITAND(4294967295-$K340,$M340)),IF($B341&lt;32,_xlfn.BITOR(_xlfn.BITAND($M340,$K340),_xlfn.BITAND(4294967295-$M340,$L340)),IF($B341&lt;48,_xlfn.BITXOR(_xlfn.BITXOR($K340,$L340),$M340),_xlfn.BITXOR($L340,_xlfn.BITOR($K340,4294967295-$M340)))))</f>
        <v>3044419995</v>
      </c>
      <c r="H341" s="7">
        <f>MOD($G341+$J340+$C341+$F341,4294967296)</f>
        <v>245239278</v>
      </c>
      <c r="I341" s="7">
        <f>MOD($H341,2^(32-$D341))*2^$D341+INT($H341/2^(32-$D341))</f>
        <v>3772702953</v>
      </c>
      <c r="J341" s="7">
        <f>$M340</f>
        <v>829434810</v>
      </c>
      <c r="K341" s="7">
        <f>MOD($K340+$I341,4294967296)</f>
        <v>2099601170</v>
      </c>
      <c r="L341" s="7">
        <f>$K340</f>
        <v>2621865513</v>
      </c>
      <c r="M341" s="7">
        <f>$L340</f>
        <v>3581913497</v>
      </c>
    </row>
    <row r="342" spans="1:13">
      <c r="A342" s="7">
        <v>6</v>
      </c>
      <c r="B342" s="7">
        <v>14</v>
      </c>
      <c r="C342" s="7">
        <f>INDEX(Sheet2!$B$2:$B$65,$B342+1)</f>
        <v>2792965006</v>
      </c>
      <c r="D342" s="7">
        <f>INDEX(Sheet2!$C$2:$C$65,$B342+1)</f>
        <v>17</v>
      </c>
      <c r="E342" s="7">
        <f>INDEX(Sheet2!$D$2:$D$65,$B342+1)</f>
        <v>14</v>
      </c>
      <c r="F342" s="7">
        <f>INDEX(Sheet3!$AY$2:$BN$11,$A342,$E342+1)</f>
        <v>152</v>
      </c>
      <c r="G342" s="7">
        <f>IF($B342&lt;16,_xlfn.BITOR(_xlfn.BITAND($K341,$L341),_xlfn.BITAND(4294967295-$K341,$M341)),IF($B342&lt;32,_xlfn.BITOR(_xlfn.BITAND($M341,$K341),_xlfn.BITAND(4294967295-$M341,$L341)),IF($B342&lt;48,_xlfn.BITXOR(_xlfn.BITXOR($K341,$L341),$M341),_xlfn.BITXOR($L341,_xlfn.BITOR($K341,4294967295-$M341)))))</f>
        <v>2623471241</v>
      </c>
      <c r="H342" s="7">
        <f>MOD($G342+$J341+$C342+$F342,4294967296)</f>
        <v>1950903913</v>
      </c>
      <c r="I342" s="7">
        <f>MOD($H342,2^(32-$D342))*2^$D342+INT($H342/2^(32-$D342))</f>
        <v>3704809616</v>
      </c>
      <c r="J342" s="7">
        <f>$M341</f>
        <v>3581913497</v>
      </c>
      <c r="K342" s="7">
        <f>MOD($K341+$I342,4294967296)</f>
        <v>1509443490</v>
      </c>
      <c r="L342" s="7">
        <f>$K341</f>
        <v>2099601170</v>
      </c>
      <c r="M342" s="7">
        <f>$L341</f>
        <v>2621865513</v>
      </c>
    </row>
    <row r="343" spans="1:13">
      <c r="A343" s="7">
        <v>6</v>
      </c>
      <c r="B343" s="7">
        <v>15</v>
      </c>
      <c r="C343" s="7">
        <f>INDEX(Sheet2!$B$2:$B$65,$B343+1)</f>
        <v>1236535329</v>
      </c>
      <c r="D343" s="7">
        <f>INDEX(Sheet2!$C$2:$C$65,$B343+1)</f>
        <v>22</v>
      </c>
      <c r="E343" s="7">
        <f>INDEX(Sheet2!$D$2:$D$65,$B343+1)</f>
        <v>15</v>
      </c>
      <c r="F343" s="7">
        <f>INDEX(Sheet3!$AY$2:$BN$11,$A343,$E343+1)</f>
        <v>0</v>
      </c>
      <c r="G343" s="7">
        <f>IF($B343&lt;16,_xlfn.BITOR(_xlfn.BITAND($K342,$L342),_xlfn.BITAND(4294967295-$K342,$M342)),IF($B343&lt;32,_xlfn.BITOR(_xlfn.BITAND($M342,$K342),_xlfn.BITAND(4294967295-$M342,$L342)),IF($B343&lt;48,_xlfn.BITXOR(_xlfn.BITXOR($K342,$L342),$M342),_xlfn.BITXOR($L342,_xlfn.BITOR($K342,4294967295-$M342)))))</f>
        <v>3710287627</v>
      </c>
      <c r="H343" s="7">
        <f>MOD($G343+$J342+$C343+$F343,4294967296)</f>
        <v>4233769157</v>
      </c>
      <c r="I343" s="7">
        <f>MOD($H343,2^(32-$D343))*2^$D343+INT($H343/2^(32-$D343))</f>
        <v>830412428</v>
      </c>
      <c r="J343" s="7">
        <f>$M342</f>
        <v>2621865513</v>
      </c>
      <c r="K343" s="7">
        <f>MOD($K342+$I343,4294967296)</f>
        <v>2339855918</v>
      </c>
      <c r="L343" s="7">
        <f>$K342</f>
        <v>1509443490</v>
      </c>
      <c r="M343" s="7">
        <f>$L342</f>
        <v>2099601170</v>
      </c>
    </row>
    <row r="344" spans="1:13">
      <c r="A344" s="7">
        <v>6</v>
      </c>
      <c r="B344" s="7">
        <v>16</v>
      </c>
      <c r="C344" s="7">
        <f>INDEX(Sheet2!$B$2:$B$65,$B344+1)</f>
        <v>4129170786</v>
      </c>
      <c r="D344" s="7">
        <f>INDEX(Sheet2!$C$2:$C$65,$B344+1)</f>
        <v>5</v>
      </c>
      <c r="E344" s="7">
        <f>INDEX(Sheet2!$D$2:$D$65,$B344+1)</f>
        <v>1</v>
      </c>
      <c r="F344" s="7">
        <f>INDEX(Sheet3!$AY$2:$BN$11,$A344,$E344+1)</f>
        <v>862876511</v>
      </c>
      <c r="G344" s="7">
        <f>IF($B344&lt;16,_xlfn.BITOR(_xlfn.BITAND($K343,$L343),_xlfn.BITAND(4294967295-$K343,$M343)),IF($B344&lt;32,_xlfn.BITOR(_xlfn.BITAND($M343,$K343),_xlfn.BITAND(4294967295-$M343,$L343)),IF($B344&lt;48,_xlfn.BITXOR(_xlfn.BITXOR($K343,$L343),$M343),_xlfn.BITXOR($L343,_xlfn.BITOR($K343,4294967295-$M343)))))</f>
        <v>167599778</v>
      </c>
      <c r="H344" s="7">
        <f>MOD($G344+$J343+$C344+$F344,4294967296)</f>
        <v>3486545292</v>
      </c>
      <c r="I344" s="7">
        <f>MOD($H344,2^(32-$D344))*2^$D344+INT($H344/2^(32-$D344))</f>
        <v>4195266969</v>
      </c>
      <c r="J344" s="7">
        <f>$M343</f>
        <v>2099601170</v>
      </c>
      <c r="K344" s="7">
        <f>MOD($K343+$I344,4294967296)</f>
        <v>2240155591</v>
      </c>
      <c r="L344" s="7">
        <f>$K343</f>
        <v>2339855918</v>
      </c>
      <c r="M344" s="7">
        <f>$L343</f>
        <v>1509443490</v>
      </c>
    </row>
    <row r="345" spans="1:13">
      <c r="A345" s="7">
        <v>6</v>
      </c>
      <c r="B345" s="7">
        <v>17</v>
      </c>
      <c r="C345" s="7">
        <f>INDEX(Sheet2!$B$2:$B$65,$B345+1)</f>
        <v>3225465664</v>
      </c>
      <c r="D345" s="7">
        <f>INDEX(Sheet2!$C$2:$C$65,$B345+1)</f>
        <v>9</v>
      </c>
      <c r="E345" s="7">
        <f>INDEX(Sheet2!$D$2:$D$65,$B345+1)</f>
        <v>6</v>
      </c>
      <c r="F345" s="7">
        <f>INDEX(Sheet3!$AY$2:$BN$11,$A345,$E345+1)</f>
        <v>0</v>
      </c>
      <c r="G345" s="7">
        <f>IF($B345&lt;16,_xlfn.BITOR(_xlfn.BITAND($K344,$L344),_xlfn.BITAND(4294967295-$K344,$M344)),IF($B345&lt;32,_xlfn.BITOR(_xlfn.BITAND($M344,$K344),_xlfn.BITAND(4294967295-$M344,$L344)),IF($B345&lt;48,_xlfn.BITXOR(_xlfn.BITXOR($K344,$L344),$M344),_xlfn.BITXOR($L344,_xlfn.BITOR($K344,4294967295-$M344)))))</f>
        <v>2206670734</v>
      </c>
      <c r="H345" s="7">
        <f>MOD($G345+$J344+$C345+$F345,4294967296)</f>
        <v>3236770272</v>
      </c>
      <c r="I345" s="7">
        <f>MOD($H345,2^(32-$D345))*2^$D345+INT($H345/2^(32-$D345))</f>
        <v>3663970689</v>
      </c>
      <c r="J345" s="7">
        <f>$M344</f>
        <v>1509443490</v>
      </c>
      <c r="K345" s="7">
        <f>MOD($K344+$I345,4294967296)</f>
        <v>1609158984</v>
      </c>
      <c r="L345" s="7">
        <f>$K344</f>
        <v>2240155591</v>
      </c>
      <c r="M345" s="7">
        <f>$L344</f>
        <v>2339855918</v>
      </c>
    </row>
    <row r="346" spans="1:13">
      <c r="A346" s="7">
        <v>6</v>
      </c>
      <c r="B346" s="7">
        <v>18</v>
      </c>
      <c r="C346" s="7">
        <f>INDEX(Sheet2!$B$2:$B$65,$B346+1)</f>
        <v>643717713</v>
      </c>
      <c r="D346" s="7">
        <f>INDEX(Sheet2!$C$2:$C$65,$B346+1)</f>
        <v>14</v>
      </c>
      <c r="E346" s="7">
        <f>INDEX(Sheet2!$D$2:$D$65,$B346+1)</f>
        <v>11</v>
      </c>
      <c r="F346" s="7">
        <f>INDEX(Sheet3!$AY$2:$BN$11,$A346,$E346+1)</f>
        <v>0</v>
      </c>
      <c r="G346" s="7">
        <f>IF($B346&lt;16,_xlfn.BITOR(_xlfn.BITAND($K345,$L345),_xlfn.BITAND(4294967295-$K345,$M345)),IF($B346&lt;32,_xlfn.BITOR(_xlfn.BITAND($M345,$K345),_xlfn.BITAND(4294967295-$M345,$L345)),IF($B346&lt;48,_xlfn.BITXOR(_xlfn.BITXOR($K345,$L345),$M345),_xlfn.BITXOR($L345,_xlfn.BITOR($K345,4294967295-$M345)))))</f>
        <v>266424777</v>
      </c>
      <c r="H346" s="7">
        <f>MOD($G346+$J345+$C346+$F346,4294967296)</f>
        <v>2419585980</v>
      </c>
      <c r="I346" s="7">
        <f>MOD($H346,2^(32-$D346))*2^$D346+INT($H346/2^(32-$D346))</f>
        <v>4243530765</v>
      </c>
      <c r="J346" s="7">
        <f>$M345</f>
        <v>2339855918</v>
      </c>
      <c r="K346" s="7">
        <f>MOD($K345+$I346,4294967296)</f>
        <v>1557722453</v>
      </c>
      <c r="L346" s="7">
        <f>$K345</f>
        <v>1609158984</v>
      </c>
      <c r="M346" s="7">
        <f>$L345</f>
        <v>2240155591</v>
      </c>
    </row>
    <row r="347" spans="1:13">
      <c r="A347" s="7">
        <v>6</v>
      </c>
      <c r="B347" s="7">
        <v>19</v>
      </c>
      <c r="C347" s="7">
        <f>INDEX(Sheet2!$B$2:$B$65,$B347+1)</f>
        <v>3921069994</v>
      </c>
      <c r="D347" s="7">
        <f>INDEX(Sheet2!$C$2:$C$65,$B347+1)</f>
        <v>20</v>
      </c>
      <c r="E347" s="7">
        <f>INDEX(Sheet2!$D$2:$D$65,$B347+1)</f>
        <v>0</v>
      </c>
      <c r="F347" s="7">
        <f>INDEX(Sheet3!$AY$2:$BN$11,$A347,$E347+1)</f>
        <v>1701654643</v>
      </c>
      <c r="G347" s="7">
        <f>IF($B347&lt;16,_xlfn.BITOR(_xlfn.BITAND($K346,$L346),_xlfn.BITAND(4294967295-$K346,$M346)),IF($B347&lt;32,_xlfn.BITOR(_xlfn.BITAND($M346,$K346),_xlfn.BITAND(4294967295-$M346,$L346)),IF($B347&lt;48,_xlfn.BITXOR(_xlfn.BITXOR($K346,$L346),$M346),_xlfn.BITXOR($L346,_xlfn.BITOR($K346,4294967295-$M346)))))</f>
        <v>1592382797</v>
      </c>
      <c r="H347" s="7">
        <f>MOD($G347+$J346+$C347+$F347,4294967296)</f>
        <v>965028760</v>
      </c>
      <c r="I347" s="7">
        <f>MOD($H347,2^(32-$D347))*2^$D347+INT($H347/2^(32-$D347))</f>
        <v>3112409170</v>
      </c>
      <c r="J347" s="7">
        <f>$M346</f>
        <v>2240155591</v>
      </c>
      <c r="K347" s="7">
        <f>MOD($K346+$I347,4294967296)</f>
        <v>375164327</v>
      </c>
      <c r="L347" s="7">
        <f>$K346</f>
        <v>1557722453</v>
      </c>
      <c r="M347" s="7">
        <f>$L346</f>
        <v>1609158984</v>
      </c>
    </row>
    <row r="348" spans="1:13">
      <c r="A348" s="7">
        <v>6</v>
      </c>
      <c r="B348" s="7">
        <v>20</v>
      </c>
      <c r="C348" s="7">
        <f>INDEX(Sheet2!$B$2:$B$65,$B348+1)</f>
        <v>3593408605</v>
      </c>
      <c r="D348" s="7">
        <f>INDEX(Sheet2!$C$2:$C$65,$B348+1)</f>
        <v>5</v>
      </c>
      <c r="E348" s="7">
        <f>INDEX(Sheet2!$D$2:$D$65,$B348+1)</f>
        <v>5</v>
      </c>
      <c r="F348" s="7">
        <f>INDEX(Sheet3!$AY$2:$BN$11,$A348,$E348+1)</f>
        <v>0</v>
      </c>
      <c r="G348" s="7">
        <f>IF($B348&lt;16,_xlfn.BITOR(_xlfn.BITAND($K347,$L347),_xlfn.BITAND(4294967295-$K347,$M347)),IF($B348&lt;32,_xlfn.BITOR(_xlfn.BITAND($M347,$K347),_xlfn.BITAND(4294967295-$M347,$L347)),IF($B348&lt;48,_xlfn.BITXOR(_xlfn.BITXOR($K347,$L347),$M347),_xlfn.BITXOR($L347,_xlfn.BITOR($K347,4294967295-$M347)))))</f>
        <v>374908181</v>
      </c>
      <c r="H348" s="7">
        <f>MOD($G348+$J347+$C348+$F348,4294967296)</f>
        <v>1913505081</v>
      </c>
      <c r="I348" s="7">
        <f>MOD($H348,2^(32-$D348))*2^$D348+INT($H348/2^(32-$D348))</f>
        <v>1102620462</v>
      </c>
      <c r="J348" s="7">
        <f>$M347</f>
        <v>1609158984</v>
      </c>
      <c r="K348" s="7">
        <f>MOD($K347+$I348,4294967296)</f>
        <v>1477784789</v>
      </c>
      <c r="L348" s="7">
        <f>$K347</f>
        <v>375164327</v>
      </c>
      <c r="M348" s="7">
        <f>$L347</f>
        <v>1557722453</v>
      </c>
    </row>
    <row r="349" spans="1:13">
      <c r="A349" s="7">
        <v>6</v>
      </c>
      <c r="B349" s="7">
        <v>21</v>
      </c>
      <c r="C349" s="7">
        <f>INDEX(Sheet2!$B$2:$B$65,$B349+1)</f>
        <v>38016083</v>
      </c>
      <c r="D349" s="7">
        <f>INDEX(Sheet2!$C$2:$C$65,$B349+1)</f>
        <v>9</v>
      </c>
      <c r="E349" s="7">
        <f>INDEX(Sheet2!$D$2:$D$65,$B349+1)</f>
        <v>10</v>
      </c>
      <c r="F349" s="7">
        <f>INDEX(Sheet3!$AY$2:$BN$11,$A349,$E349+1)</f>
        <v>0</v>
      </c>
      <c r="G349" s="7">
        <f>IF($B349&lt;16,_xlfn.BITOR(_xlfn.BITAND($K348,$L348),_xlfn.BITAND(4294967295-$K348,$M348)),IF($B349&lt;32,_xlfn.BITOR(_xlfn.BITAND($M348,$K348),_xlfn.BITAND(4294967295-$M348,$L348)),IF($B349&lt;48,_xlfn.BITXOR(_xlfn.BITXOR($K348,$L348),$M348),_xlfn.BITXOR($L348,_xlfn.BITOR($K348,4294967295-$M348)))))</f>
        <v>1511275767</v>
      </c>
      <c r="H349" s="7">
        <f>MOD($G349+$J348+$C349+$F349,4294967296)</f>
        <v>3158450834</v>
      </c>
      <c r="I349" s="7">
        <f>MOD($H349,2^(32-$D349))*2^$D349+INT($H349/2^(32-$D349))</f>
        <v>2219124088</v>
      </c>
      <c r="J349" s="7">
        <f>$M348</f>
        <v>1557722453</v>
      </c>
      <c r="K349" s="7">
        <f>MOD($K348+$I349,4294967296)</f>
        <v>3696908877</v>
      </c>
      <c r="L349" s="7">
        <f>$K348</f>
        <v>1477784789</v>
      </c>
      <c r="M349" s="7">
        <f>$L348</f>
        <v>375164327</v>
      </c>
    </row>
    <row r="350" spans="1:13">
      <c r="A350" s="7">
        <v>6</v>
      </c>
      <c r="B350" s="7">
        <v>22</v>
      </c>
      <c r="C350" s="7">
        <f>INDEX(Sheet2!$B$2:$B$65,$B350+1)</f>
        <v>3634488961</v>
      </c>
      <c r="D350" s="7">
        <f>INDEX(Sheet2!$C$2:$C$65,$B350+1)</f>
        <v>14</v>
      </c>
      <c r="E350" s="7">
        <f>INDEX(Sheet2!$D$2:$D$65,$B350+1)</f>
        <v>15</v>
      </c>
      <c r="F350" s="7">
        <f>INDEX(Sheet3!$AY$2:$BN$11,$A350,$E350+1)</f>
        <v>0</v>
      </c>
      <c r="G350" s="7">
        <f>IF($B350&lt;16,_xlfn.BITOR(_xlfn.BITAND($K349,$L349),_xlfn.BITAND(4294967295-$K349,$M349)),IF($B350&lt;32,_xlfn.BITOR(_xlfn.BITAND($M349,$K349),_xlfn.BITAND(4294967295-$M349,$L349)),IF($B350&lt;48,_xlfn.BITXOR(_xlfn.BITXOR($K349,$L349),$M349),_xlfn.BITXOR($L349,_xlfn.BITOR($K349,4294967295-$M349)))))</f>
        <v>1549350997</v>
      </c>
      <c r="H350" s="7">
        <f>MOD($G350+$J349+$C350+$F350,4294967296)</f>
        <v>2446595115</v>
      </c>
      <c r="I350" s="7">
        <f>MOD($H350,2^(32-$D350))*2^$D350+INT($H350/2^(32-$D350))</f>
        <v>84599925</v>
      </c>
      <c r="J350" s="7">
        <f>$M349</f>
        <v>375164327</v>
      </c>
      <c r="K350" s="7">
        <f>MOD($K349+$I350,4294967296)</f>
        <v>3781508802</v>
      </c>
      <c r="L350" s="7">
        <f>$K349</f>
        <v>3696908877</v>
      </c>
      <c r="M350" s="7">
        <f>$L349</f>
        <v>1477784789</v>
      </c>
    </row>
    <row r="351" spans="1:13">
      <c r="A351" s="7">
        <v>6</v>
      </c>
      <c r="B351" s="7">
        <v>23</v>
      </c>
      <c r="C351" s="7">
        <f>INDEX(Sheet2!$B$2:$B$65,$B351+1)</f>
        <v>3889429448</v>
      </c>
      <c r="D351" s="7">
        <f>INDEX(Sheet2!$C$2:$C$65,$B351+1)</f>
        <v>20</v>
      </c>
      <c r="E351" s="7">
        <f>INDEX(Sheet2!$D$2:$D$65,$B351+1)</f>
        <v>4</v>
      </c>
      <c r="F351" s="7">
        <f>INDEX(Sheet3!$AY$2:$BN$11,$A351,$E351+1)</f>
        <v>2151628607</v>
      </c>
      <c r="G351" s="7">
        <f>IF($B351&lt;16,_xlfn.BITOR(_xlfn.BITAND($K350,$L350),_xlfn.BITAND(4294967295-$K350,$M350)),IF($B351&lt;32,_xlfn.BITOR(_xlfn.BITAND($M350,$K350),_xlfn.BITAND(4294967295-$M350,$L350)),IF($B351&lt;48,_xlfn.BITXOR(_xlfn.BITXOR($K350,$L350),$M350),_xlfn.BITXOR($L350,_xlfn.BITOR($K350,4294967295-$M350)))))</f>
        <v>3293544136</v>
      </c>
      <c r="H351" s="7">
        <f>MOD($G351+$J350+$C351+$F351,4294967296)</f>
        <v>1119831926</v>
      </c>
      <c r="I351" s="7">
        <f>MOD($H351,2^(32-$D351))*2^$D351+INT($H351/2^(32-$D351))</f>
        <v>2003053556</v>
      </c>
      <c r="J351" s="7">
        <f>$M350</f>
        <v>1477784789</v>
      </c>
      <c r="K351" s="7">
        <f>MOD($K350+$I351,4294967296)</f>
        <v>1489595062</v>
      </c>
      <c r="L351" s="7">
        <f>$K350</f>
        <v>3781508802</v>
      </c>
      <c r="M351" s="7">
        <f>$L350</f>
        <v>3696908877</v>
      </c>
    </row>
    <row r="352" spans="1:13">
      <c r="A352" s="7">
        <v>6</v>
      </c>
      <c r="B352" s="7">
        <v>24</v>
      </c>
      <c r="C352" s="7">
        <f>INDEX(Sheet2!$B$2:$B$65,$B352+1)</f>
        <v>568446438</v>
      </c>
      <c r="D352" s="7">
        <f>INDEX(Sheet2!$C$2:$C$65,$B352+1)</f>
        <v>5</v>
      </c>
      <c r="E352" s="7">
        <f>INDEX(Sheet2!$D$2:$D$65,$B352+1)</f>
        <v>9</v>
      </c>
      <c r="F352" s="7">
        <f>INDEX(Sheet3!$AY$2:$BN$11,$A352,$E352+1)</f>
        <v>0</v>
      </c>
      <c r="G352" s="7">
        <f>IF($B352&lt;16,_xlfn.BITOR(_xlfn.BITAND($K351,$L351),_xlfn.BITAND(4294967295-$K351,$M351)),IF($B352&lt;32,_xlfn.BITOR(_xlfn.BITAND($M351,$K351),_xlfn.BITAND(4294967295-$M351,$L351)),IF($B352&lt;48,_xlfn.BITXOR(_xlfn.BITXOR($K351,$L351),$M351),_xlfn.BITXOR($L351,_xlfn.BITOR($K351,4294967295-$M351)))))</f>
        <v>2037214854</v>
      </c>
      <c r="H352" s="7">
        <f>MOD($G352+$J351+$C352+$F352,4294967296)</f>
        <v>4083446081</v>
      </c>
      <c r="I352" s="7">
        <f>MOD($H352,2^(32-$D352))*2^$D352+INT($H352/2^(32-$D352))</f>
        <v>1821255742</v>
      </c>
      <c r="J352" s="7">
        <f>$M351</f>
        <v>3696908877</v>
      </c>
      <c r="K352" s="7">
        <f>MOD($K351+$I352,4294967296)</f>
        <v>3310850804</v>
      </c>
      <c r="L352" s="7">
        <f>$K351</f>
        <v>1489595062</v>
      </c>
      <c r="M352" s="7">
        <f>$L351</f>
        <v>3781508802</v>
      </c>
    </row>
    <row r="353" spans="1:13">
      <c r="A353" s="7">
        <v>6</v>
      </c>
      <c r="B353" s="7">
        <v>25</v>
      </c>
      <c r="C353" s="7">
        <f>INDEX(Sheet2!$B$2:$B$65,$B353+1)</f>
        <v>3275163606</v>
      </c>
      <c r="D353" s="7">
        <f>INDEX(Sheet2!$C$2:$C$65,$B353+1)</f>
        <v>9</v>
      </c>
      <c r="E353" s="7">
        <f>INDEX(Sheet2!$D$2:$D$65,$B353+1)</f>
        <v>14</v>
      </c>
      <c r="F353" s="7">
        <f>INDEX(Sheet3!$AY$2:$BN$11,$A353,$E353+1)</f>
        <v>152</v>
      </c>
      <c r="G353" s="7">
        <f>IF($B353&lt;16,_xlfn.BITOR(_xlfn.BITAND($K352,$L352),_xlfn.BITAND(4294967295-$K352,$M352)),IF($B353&lt;32,_xlfn.BITOR(_xlfn.BITAND($M352,$K352),_xlfn.BITAND(4294967295-$M352,$L352)),IF($B353&lt;48,_xlfn.BITXOR(_xlfn.BITXOR($K352,$L352),$M352),_xlfn.BITXOR($L352,_xlfn.BITOR($K352,4294967295-$M352)))))</f>
        <v>3654111988</v>
      </c>
      <c r="H353" s="7">
        <f>MOD($G353+$J352+$C353+$F353,4294967296)</f>
        <v>2036250031</v>
      </c>
      <c r="I353" s="7">
        <f>MOD($H353,2^(32-$D353))*2^$D353+INT($H353/2^(32-$D353))</f>
        <v>3177930482</v>
      </c>
      <c r="J353" s="7">
        <f>$M352</f>
        <v>3781508802</v>
      </c>
      <c r="K353" s="7">
        <f>MOD($K352+$I353,4294967296)</f>
        <v>2193813990</v>
      </c>
      <c r="L353" s="7">
        <f>$K352</f>
        <v>3310850804</v>
      </c>
      <c r="M353" s="7">
        <f>$L352</f>
        <v>1489595062</v>
      </c>
    </row>
    <row r="354" spans="1:13">
      <c r="A354" s="7">
        <v>6</v>
      </c>
      <c r="B354" s="7">
        <v>26</v>
      </c>
      <c r="C354" s="7">
        <f>INDEX(Sheet2!$B$2:$B$65,$B354+1)</f>
        <v>4107603335</v>
      </c>
      <c r="D354" s="7">
        <f>INDEX(Sheet2!$C$2:$C$65,$B354+1)</f>
        <v>14</v>
      </c>
      <c r="E354" s="7">
        <f>INDEX(Sheet2!$D$2:$D$65,$B354+1)</f>
        <v>3</v>
      </c>
      <c r="F354" s="7">
        <f>INDEX(Sheet3!$AY$2:$BN$11,$A354,$E354+1)</f>
        <v>1953248371</v>
      </c>
      <c r="G354" s="7">
        <f>IF($B354&lt;16,_xlfn.BITOR(_xlfn.BITAND($K353,$L353),_xlfn.BITAND(4294967295-$K353,$M353)),IF($B354&lt;32,_xlfn.BITOR(_xlfn.BITAND($M353,$K353),_xlfn.BITAND(4294967295-$M353,$L353)),IF($B354&lt;48,_xlfn.BITXOR(_xlfn.BITXOR($K353,$L353),$M353),_xlfn.BITXOR($L353,_xlfn.BITOR($K353,4294967295-$M353)))))</f>
        <v>2245456102</v>
      </c>
      <c r="H354" s="7">
        <f>MOD($G354+$J353+$C354+$F354,4294967296)</f>
        <v>3497882018</v>
      </c>
      <c r="I354" s="7">
        <f>MOD($H354,2^(32-$D354))*2^$D354+INT($H354/2^(32-$D354))</f>
        <v>1550365727</v>
      </c>
      <c r="J354" s="7">
        <f>$M353</f>
        <v>1489595062</v>
      </c>
      <c r="K354" s="7">
        <f>MOD($K353+$I354,4294967296)</f>
        <v>3744179717</v>
      </c>
      <c r="L354" s="7">
        <f>$K353</f>
        <v>2193813990</v>
      </c>
      <c r="M354" s="7">
        <f>$L353</f>
        <v>3310850804</v>
      </c>
    </row>
    <row r="355" spans="1:13">
      <c r="A355" s="7">
        <v>6</v>
      </c>
      <c r="B355" s="7">
        <v>27</v>
      </c>
      <c r="C355" s="7">
        <f>INDEX(Sheet2!$B$2:$B$65,$B355+1)</f>
        <v>1163531501</v>
      </c>
      <c r="D355" s="7">
        <f>INDEX(Sheet2!$C$2:$C$65,$B355+1)</f>
        <v>20</v>
      </c>
      <c r="E355" s="7">
        <f>INDEX(Sheet2!$D$2:$D$65,$B355+1)</f>
        <v>8</v>
      </c>
      <c r="F355" s="7">
        <f>INDEX(Sheet3!$AY$2:$BN$11,$A355,$E355+1)</f>
        <v>0</v>
      </c>
      <c r="G355" s="7">
        <f>IF($B355&lt;16,_xlfn.BITOR(_xlfn.BITAND($K354,$L354),_xlfn.BITAND(4294967295-$K354,$M354)),IF($B355&lt;32,_xlfn.BITOR(_xlfn.BITAND($M354,$K354),_xlfn.BITAND(4294967295-$M354,$L354)),IF($B355&lt;48,_xlfn.BITXOR(_xlfn.BITXOR($K354,$L354),$M354),_xlfn.BITXOR($L354,_xlfn.BITOR($K354,4294967295-$M354)))))</f>
        <v>3347309318</v>
      </c>
      <c r="H355" s="7">
        <f>MOD($G355+$J354+$C355+$F355,4294967296)</f>
        <v>1705468585</v>
      </c>
      <c r="I355" s="7">
        <f>MOD($H355,2^(32-$D355))*2^$D355+INT($H355/2^(32-$D355))</f>
        <v>714496630</v>
      </c>
      <c r="J355" s="7">
        <f>$M354</f>
        <v>3310850804</v>
      </c>
      <c r="K355" s="7">
        <f>MOD($K354+$I355,4294967296)</f>
        <v>163709051</v>
      </c>
      <c r="L355" s="7">
        <f>$K354</f>
        <v>3744179717</v>
      </c>
      <c r="M355" s="7">
        <f>$L354</f>
        <v>2193813990</v>
      </c>
    </row>
    <row r="356" spans="1:13">
      <c r="A356" s="7">
        <v>6</v>
      </c>
      <c r="B356" s="7">
        <v>28</v>
      </c>
      <c r="C356" s="7">
        <f>INDEX(Sheet2!$B$2:$B$65,$B356+1)</f>
        <v>2850285829</v>
      </c>
      <c r="D356" s="7">
        <f>INDEX(Sheet2!$C$2:$C$65,$B356+1)</f>
        <v>5</v>
      </c>
      <c r="E356" s="7">
        <f>INDEX(Sheet2!$D$2:$D$65,$B356+1)</f>
        <v>13</v>
      </c>
      <c r="F356" s="7">
        <f>INDEX(Sheet3!$AY$2:$BN$11,$A356,$E356+1)</f>
        <v>0</v>
      </c>
      <c r="G356" s="7">
        <f>IF($B356&lt;16,_xlfn.BITOR(_xlfn.BITAND($K355,$L355),_xlfn.BITAND(4294967295-$K355,$M355)),IF($B356&lt;32,_xlfn.BITOR(_xlfn.BITAND($M355,$K355),_xlfn.BITAND(4294967295-$M355,$L355)),IF($B356&lt;48,_xlfn.BITXOR(_xlfn.BITXOR($K355,$L355),$M355),_xlfn.BITXOR($L355,_xlfn.BITOR($K355,4294967295-$M355)))))</f>
        <v>1575683683</v>
      </c>
      <c r="H356" s="7">
        <f>MOD($G356+$J355+$C356+$F356,4294967296)</f>
        <v>3441853020</v>
      </c>
      <c r="I356" s="7">
        <f>MOD($H356,2^(32-$D356))*2^$D356+INT($H356/2^(32-$D356))</f>
        <v>2765114265</v>
      </c>
      <c r="J356" s="7">
        <f>$M355</f>
        <v>2193813990</v>
      </c>
      <c r="K356" s="7">
        <f>MOD($K355+$I356,4294967296)</f>
        <v>2928823316</v>
      </c>
      <c r="L356" s="7">
        <f>$K355</f>
        <v>163709051</v>
      </c>
      <c r="M356" s="7">
        <f>$L355</f>
        <v>3744179717</v>
      </c>
    </row>
    <row r="357" spans="1:13">
      <c r="A357" s="7">
        <v>6</v>
      </c>
      <c r="B357" s="7">
        <v>29</v>
      </c>
      <c r="C357" s="7">
        <f>INDEX(Sheet2!$B$2:$B$65,$B357+1)</f>
        <v>4243563512</v>
      </c>
      <c r="D357" s="7">
        <f>INDEX(Sheet2!$C$2:$C$65,$B357+1)</f>
        <v>9</v>
      </c>
      <c r="E357" s="7">
        <f>INDEX(Sheet2!$D$2:$D$65,$B357+1)</f>
        <v>2</v>
      </c>
      <c r="F357" s="7">
        <f>INDEX(Sheet3!$AY$2:$BN$11,$A357,$E357+1)</f>
        <v>1601792820</v>
      </c>
      <c r="G357" s="7">
        <f>IF($B357&lt;16,_xlfn.BITOR(_xlfn.BITAND($K356,$L356),_xlfn.BITAND(4294967295-$K356,$M356)),IF($B357&lt;32,_xlfn.BITOR(_xlfn.BITAND($M356,$K356),_xlfn.BITAND(4294967295-$M356,$L356)),IF($B357&lt;48,_xlfn.BITXOR(_xlfn.BITXOR($K356,$L356),$M356),_xlfn.BITXOR($L356,_xlfn.BITOR($K356,4294967295-$M356)))))</f>
        <v>2395079806</v>
      </c>
      <c r="H357" s="7">
        <f>MOD($G357+$J356+$C357+$F357,4294967296)</f>
        <v>1844315536</v>
      </c>
      <c r="I357" s="7">
        <f>MOD($H357,2^(32-$D357))*2^$D357+INT($H357/2^(32-$D357))</f>
        <v>3691716827</v>
      </c>
      <c r="J357" s="7">
        <f>$M356</f>
        <v>3744179717</v>
      </c>
      <c r="K357" s="7">
        <f>MOD($K356+$I357,4294967296)</f>
        <v>2325572847</v>
      </c>
      <c r="L357" s="7">
        <f>$K356</f>
        <v>2928823316</v>
      </c>
      <c r="M357" s="7">
        <f>$L356</f>
        <v>163709051</v>
      </c>
    </row>
    <row r="358" spans="1:13">
      <c r="A358" s="7">
        <v>6</v>
      </c>
      <c r="B358" s="7">
        <v>30</v>
      </c>
      <c r="C358" s="7">
        <f>INDEX(Sheet2!$B$2:$B$65,$B358+1)</f>
        <v>1735328473</v>
      </c>
      <c r="D358" s="7">
        <f>INDEX(Sheet2!$C$2:$C$65,$B358+1)</f>
        <v>14</v>
      </c>
      <c r="E358" s="7">
        <f>INDEX(Sheet2!$D$2:$D$65,$B358+1)</f>
        <v>7</v>
      </c>
      <c r="F358" s="7">
        <f>INDEX(Sheet3!$AY$2:$BN$11,$A358,$E358+1)</f>
        <v>0</v>
      </c>
      <c r="G358" s="7">
        <f>IF($B358&lt;16,_xlfn.BITOR(_xlfn.BITAND($K357,$L357),_xlfn.BITAND(4294967295-$K357,$M357)),IF($B358&lt;32,_xlfn.BITOR(_xlfn.BITAND($M357,$K357),_xlfn.BITAND(4294967295-$M357,$L357)),IF($B358&lt;48,_xlfn.BITXOR(_xlfn.BITXOR($K357,$L357),$M357),_xlfn.BITXOR($L357,_xlfn.BITOR($K357,4294967295-$M357)))))</f>
        <v>2928692335</v>
      </c>
      <c r="H358" s="7">
        <f>MOD($G358+$J357+$C358+$F358,4294967296)</f>
        <v>4113233229</v>
      </c>
      <c r="I358" s="7">
        <f>MOD($H358,2^(32-$D358))*2^$D358+INT($H358/2^(32-$D358))</f>
        <v>3176365386</v>
      </c>
      <c r="J358" s="7">
        <f>$M357</f>
        <v>163709051</v>
      </c>
      <c r="K358" s="7">
        <f>MOD($K357+$I358,4294967296)</f>
        <v>1206970937</v>
      </c>
      <c r="L358" s="7">
        <f>$K357</f>
        <v>2325572847</v>
      </c>
      <c r="M358" s="7">
        <f>$L357</f>
        <v>2928823316</v>
      </c>
    </row>
    <row r="359" spans="1:13">
      <c r="A359" s="7">
        <v>6</v>
      </c>
      <c r="B359" s="7">
        <v>31</v>
      </c>
      <c r="C359" s="7">
        <f>INDEX(Sheet2!$B$2:$B$65,$B359+1)</f>
        <v>2368359562</v>
      </c>
      <c r="D359" s="7">
        <f>INDEX(Sheet2!$C$2:$C$65,$B359+1)</f>
        <v>20</v>
      </c>
      <c r="E359" s="7">
        <f>INDEX(Sheet2!$D$2:$D$65,$B359+1)</f>
        <v>12</v>
      </c>
      <c r="F359" s="7">
        <f>INDEX(Sheet3!$AY$2:$BN$11,$A359,$E359+1)</f>
        <v>0</v>
      </c>
      <c r="G359" s="7">
        <f>IF($B359&lt;16,_xlfn.BITOR(_xlfn.BITAND($K358,$L358),_xlfn.BITAND(4294967295-$K358,$M358)),IF($B359&lt;32,_xlfn.BITOR(_xlfn.BITAND($M358,$K358),_xlfn.BITAND(4294967295-$M358,$L358)),IF($B359&lt;48,_xlfn.BITXOR(_xlfn.BITXOR($K358,$L358),$M358),_xlfn.BITXOR($L358,_xlfn.BITOR($K358,4294967295-$M358)))))</f>
        <v>110979323</v>
      </c>
      <c r="H359" s="7">
        <f>MOD($G359+$J358+$C359+$F359,4294967296)</f>
        <v>2643047936</v>
      </c>
      <c r="I359" s="7">
        <f>MOD($H359,2^(32-$D359))*2^$D359+INT($H359/2^(32-$D359))</f>
        <v>1611258011</v>
      </c>
      <c r="J359" s="7">
        <f>$M358</f>
        <v>2928823316</v>
      </c>
      <c r="K359" s="7">
        <f>MOD($K358+$I359,4294967296)</f>
        <v>2818228948</v>
      </c>
      <c r="L359" s="7">
        <f>$K358</f>
        <v>1206970937</v>
      </c>
      <c r="M359" s="7">
        <f>$L358</f>
        <v>2325572847</v>
      </c>
    </row>
    <row r="360" spans="1:13">
      <c r="A360" s="7">
        <v>6</v>
      </c>
      <c r="B360" s="7">
        <v>32</v>
      </c>
      <c r="C360" s="7">
        <f>INDEX(Sheet2!$B$2:$B$65,$B360+1)</f>
        <v>4294588738</v>
      </c>
      <c r="D360" s="7">
        <f>INDEX(Sheet2!$C$2:$C$65,$B360+1)</f>
        <v>4</v>
      </c>
      <c r="E360" s="7">
        <f>INDEX(Sheet2!$D$2:$D$65,$B360+1)</f>
        <v>5</v>
      </c>
      <c r="F360" s="7">
        <f>INDEX(Sheet3!$AY$2:$BN$11,$A360,$E360+1)</f>
        <v>0</v>
      </c>
      <c r="G360" s="7">
        <f>IF($B360&lt;16,_xlfn.BITOR(_xlfn.BITAND($K359,$L359),_xlfn.BITAND(4294967295-$K359,$M359)),IF($B360&lt;32,_xlfn.BITOR(_xlfn.BITAND($M359,$K359),_xlfn.BITAND(4294967295-$M359,$L359)),IF($B360&lt;48,_xlfn.BITXOR(_xlfn.BITXOR($K359,$L359),$M359),_xlfn.BITXOR($L359,_xlfn.BITOR($K359,4294967295-$M359)))))</f>
        <v>1788298242</v>
      </c>
      <c r="H360" s="7">
        <f>MOD($G360+$J359+$C360+$F360,4294967296)</f>
        <v>421775704</v>
      </c>
      <c r="I360" s="7">
        <f>MOD($H360,2^(32-$D360))*2^$D360+INT($H360/2^(32-$D360))</f>
        <v>2453443969</v>
      </c>
      <c r="J360" s="7">
        <f>$M359</f>
        <v>2325572847</v>
      </c>
      <c r="K360" s="7">
        <f>MOD($K359+$I360,4294967296)</f>
        <v>976705621</v>
      </c>
      <c r="L360" s="7">
        <f>$K359</f>
        <v>2818228948</v>
      </c>
      <c r="M360" s="7">
        <f>$L359</f>
        <v>1206970937</v>
      </c>
    </row>
    <row r="361" spans="1:13">
      <c r="A361" s="7">
        <v>6</v>
      </c>
      <c r="B361" s="7">
        <v>33</v>
      </c>
      <c r="C361" s="7">
        <f>INDEX(Sheet2!$B$2:$B$65,$B361+1)</f>
        <v>2272392833</v>
      </c>
      <c r="D361" s="7">
        <f>INDEX(Sheet2!$C$2:$C$65,$B361+1)</f>
        <v>11</v>
      </c>
      <c r="E361" s="7">
        <f>INDEX(Sheet2!$D$2:$D$65,$B361+1)</f>
        <v>8</v>
      </c>
      <c r="F361" s="7">
        <f>INDEX(Sheet3!$AY$2:$BN$11,$A361,$E361+1)</f>
        <v>0</v>
      </c>
      <c r="G361" s="7">
        <f>IF($B361&lt;16,_xlfn.BITOR(_xlfn.BITAND($K360,$L360),_xlfn.BITAND(4294967295-$K360,$M360)),IF($B361&lt;32,_xlfn.BITOR(_xlfn.BITAND($M360,$K360),_xlfn.BITAND(4294967295-$M360,$L360)),IF($B361&lt;48,_xlfn.BITXOR(_xlfn.BITXOR($K360,$L360),$M360),_xlfn.BITXOR($L360,_xlfn.BITOR($K360,4294967295-$M360)))))</f>
        <v>3661459640</v>
      </c>
      <c r="H361" s="7">
        <f>MOD($G361+$J360+$C361+$F361,4294967296)</f>
        <v>3964458024</v>
      </c>
      <c r="I361" s="7">
        <f>MOD($H361,2^(32-$D361))*2^$D361+INT($H361/2^(32-$D361))</f>
        <v>1721845602</v>
      </c>
      <c r="J361" s="7">
        <f>$M360</f>
        <v>1206970937</v>
      </c>
      <c r="K361" s="7">
        <f>MOD($K360+$I361,4294967296)</f>
        <v>2698551223</v>
      </c>
      <c r="L361" s="7">
        <f>$K360</f>
        <v>976705621</v>
      </c>
      <c r="M361" s="7">
        <f>$L360</f>
        <v>2818228948</v>
      </c>
    </row>
    <row r="362" spans="1:13">
      <c r="A362" s="7">
        <v>6</v>
      </c>
      <c r="B362" s="7">
        <v>34</v>
      </c>
      <c r="C362" s="7">
        <f>INDEX(Sheet2!$B$2:$B$65,$B362+1)</f>
        <v>1839030562</v>
      </c>
      <c r="D362" s="7">
        <f>INDEX(Sheet2!$C$2:$C$65,$B362+1)</f>
        <v>16</v>
      </c>
      <c r="E362" s="7">
        <f>INDEX(Sheet2!$D$2:$D$65,$B362+1)</f>
        <v>11</v>
      </c>
      <c r="F362" s="7">
        <f>INDEX(Sheet3!$AY$2:$BN$11,$A362,$E362+1)</f>
        <v>0</v>
      </c>
      <c r="G362" s="7">
        <f>IF($B362&lt;16,_xlfn.BITOR(_xlfn.BITAND($K361,$L361),_xlfn.BITAND(4294967295-$K361,$M361)),IF($B362&lt;32,_xlfn.BITOR(_xlfn.BITAND($M361,$K361),_xlfn.BITAND(4294967295-$M361,$L361)),IF($B362&lt;48,_xlfn.BITXOR(_xlfn.BITXOR($K361,$L361),$M361),_xlfn.BITXOR($L361,_xlfn.BITOR($K361,4294967295-$M361)))))</f>
        <v>1024787766</v>
      </c>
      <c r="H362" s="7">
        <f>MOD($G362+$J361+$C362+$F362,4294967296)</f>
        <v>4070789265</v>
      </c>
      <c r="I362" s="7">
        <f>MOD($H362,2^(32-$D362))*2^$D362+INT($H362/2^(32-$D362))</f>
        <v>1351742115</v>
      </c>
      <c r="J362" s="7">
        <f>$M361</f>
        <v>2818228948</v>
      </c>
      <c r="K362" s="7">
        <f>MOD($K361+$I362,4294967296)</f>
        <v>4050293338</v>
      </c>
      <c r="L362" s="7">
        <f>$K361</f>
        <v>2698551223</v>
      </c>
      <c r="M362" s="7">
        <f>$L361</f>
        <v>976705621</v>
      </c>
    </row>
    <row r="363" spans="1:13">
      <c r="A363" s="7">
        <v>6</v>
      </c>
      <c r="B363" s="7">
        <v>35</v>
      </c>
      <c r="C363" s="7">
        <f>INDEX(Sheet2!$B$2:$B$65,$B363+1)</f>
        <v>4259657740</v>
      </c>
      <c r="D363" s="7">
        <f>INDEX(Sheet2!$C$2:$C$65,$B363+1)</f>
        <v>23</v>
      </c>
      <c r="E363" s="7">
        <f>INDEX(Sheet2!$D$2:$D$65,$B363+1)</f>
        <v>14</v>
      </c>
      <c r="F363" s="7">
        <f>INDEX(Sheet3!$AY$2:$BN$11,$A363,$E363+1)</f>
        <v>152</v>
      </c>
      <c r="G363" s="7">
        <f>IF($B363&lt;16,_xlfn.BITOR(_xlfn.BITAND($K362,$L362),_xlfn.BITAND(4294967295-$K362,$M362)),IF($B363&lt;32,_xlfn.BITOR(_xlfn.BITAND($M362,$K362),_xlfn.BITAND(4294967295-$M362,$L362)),IF($B363&lt;48,_xlfn.BITXOR(_xlfn.BITXOR($K362,$L362),$M362),_xlfn.BITXOR($L362,_xlfn.BITOR($K362,4294967295-$M362)))))</f>
        <v>1803900344</v>
      </c>
      <c r="H363" s="7">
        <f>MOD($G363+$J362+$C363+$F363,4294967296)</f>
        <v>291852592</v>
      </c>
      <c r="I363" s="7">
        <f>MOD($H363,2^(32-$D363))*2^$D363+INT($H363/2^(32-$D363))</f>
        <v>2550706856</v>
      </c>
      <c r="J363" s="7">
        <f>$M362</f>
        <v>976705621</v>
      </c>
      <c r="K363" s="7">
        <f>MOD($K362+$I363,4294967296)</f>
        <v>2306032898</v>
      </c>
      <c r="L363" s="7">
        <f>$K362</f>
        <v>4050293338</v>
      </c>
      <c r="M363" s="7">
        <f>$L362</f>
        <v>2698551223</v>
      </c>
    </row>
    <row r="364" spans="1:13">
      <c r="A364" s="7">
        <v>6</v>
      </c>
      <c r="B364" s="7">
        <v>36</v>
      </c>
      <c r="C364" s="7">
        <f>INDEX(Sheet2!$B$2:$B$65,$B364+1)</f>
        <v>2763975236</v>
      </c>
      <c r="D364" s="7">
        <f>INDEX(Sheet2!$C$2:$C$65,$B364+1)</f>
        <v>4</v>
      </c>
      <c r="E364" s="7">
        <f>INDEX(Sheet2!$D$2:$D$65,$B364+1)</f>
        <v>1</v>
      </c>
      <c r="F364" s="7">
        <f>INDEX(Sheet3!$AY$2:$BN$11,$A364,$E364+1)</f>
        <v>862876511</v>
      </c>
      <c r="G364" s="7">
        <f>IF($B364&lt;16,_xlfn.BITOR(_xlfn.BITAND($K363,$L363),_xlfn.BITAND(4294967295-$K363,$M363)),IF($B364&lt;32,_xlfn.BITOR(_xlfn.BITAND($M363,$K363),_xlfn.BITAND(4294967295-$M363,$L363)),IF($B364&lt;48,_xlfn.BITXOR(_xlfn.BITXOR($K363,$L363),$M363),_xlfn.BITXOR($L363,_xlfn.BITOR($K363,4294967295-$M363)))))</f>
        <v>3636545775</v>
      </c>
      <c r="H364" s="7">
        <f>MOD($G364+$J363+$C364+$F364,4294967296)</f>
        <v>3945135847</v>
      </c>
      <c r="I364" s="7">
        <f>MOD($H364,2^(32-$D364))*2^$D364+INT($H364/2^(32-$D364))</f>
        <v>2992631422</v>
      </c>
      <c r="J364" s="7">
        <f>$M363</f>
        <v>2698551223</v>
      </c>
      <c r="K364" s="7">
        <f>MOD($K363+$I364,4294967296)</f>
        <v>1003697024</v>
      </c>
      <c r="L364" s="7">
        <f>$K363</f>
        <v>2306032898</v>
      </c>
      <c r="M364" s="7">
        <f>$L363</f>
        <v>4050293338</v>
      </c>
    </row>
    <row r="365" spans="1:13">
      <c r="A365" s="7">
        <v>6</v>
      </c>
      <c r="B365" s="7">
        <v>37</v>
      </c>
      <c r="C365" s="7">
        <f>INDEX(Sheet2!$B$2:$B$65,$B365+1)</f>
        <v>1272893353</v>
      </c>
      <c r="D365" s="7">
        <f>INDEX(Sheet2!$C$2:$C$65,$B365+1)</f>
        <v>11</v>
      </c>
      <c r="E365" s="7">
        <f>INDEX(Sheet2!$D$2:$D$65,$B365+1)</f>
        <v>4</v>
      </c>
      <c r="F365" s="7">
        <f>INDEX(Sheet3!$AY$2:$BN$11,$A365,$E365+1)</f>
        <v>2151628607</v>
      </c>
      <c r="G365" s="7">
        <f>IF($B365&lt;16,_xlfn.BITOR(_xlfn.BITAND($K364,$L364),_xlfn.BITAND(4294967295-$K364,$M364)),IF($B365&lt;32,_xlfn.BITOR(_xlfn.BITAND($M364,$K364),_xlfn.BITAND(4294967295-$M364,$L364)),IF($B365&lt;48,_xlfn.BITXOR(_xlfn.BITXOR($K364,$L364),$M364),_xlfn.BITXOR($L364,_xlfn.BITOR($K364,4294967295-$M364)))))</f>
        <v>1137370328</v>
      </c>
      <c r="H365" s="7">
        <f>MOD($G365+$J364+$C365+$F365,4294967296)</f>
        <v>2965476215</v>
      </c>
      <c r="I365" s="7">
        <f>MOD($H365,2^(32-$D365))*2^$D365+INT($H365/2^(32-$D365))</f>
        <v>211533190</v>
      </c>
      <c r="J365" s="7">
        <f>$M364</f>
        <v>4050293338</v>
      </c>
      <c r="K365" s="7">
        <f>MOD($K364+$I365,4294967296)</f>
        <v>1215230214</v>
      </c>
      <c r="L365" s="7">
        <f>$K364</f>
        <v>1003697024</v>
      </c>
      <c r="M365" s="7">
        <f>$L364</f>
        <v>2306032898</v>
      </c>
    </row>
    <row r="366" spans="1:13">
      <c r="A366" s="7">
        <v>6</v>
      </c>
      <c r="B366" s="7">
        <v>38</v>
      </c>
      <c r="C366" s="7">
        <f>INDEX(Sheet2!$B$2:$B$65,$B366+1)</f>
        <v>4139469664</v>
      </c>
      <c r="D366" s="7">
        <f>INDEX(Sheet2!$C$2:$C$65,$B366+1)</f>
        <v>16</v>
      </c>
      <c r="E366" s="7">
        <f>INDEX(Sheet2!$D$2:$D$65,$B366+1)</f>
        <v>7</v>
      </c>
      <c r="F366" s="7">
        <f>INDEX(Sheet3!$AY$2:$BN$11,$A366,$E366+1)</f>
        <v>0</v>
      </c>
      <c r="G366" s="7">
        <f>IF($B366&lt;16,_xlfn.BITOR(_xlfn.BITAND($K365,$L365),_xlfn.BITAND(4294967295-$K365,$M365)),IF($B366&lt;32,_xlfn.BITOR(_xlfn.BITAND($M365,$K365),_xlfn.BITAND(4294967295-$M365,$L365)),IF($B366&lt;48,_xlfn.BITXOR(_xlfn.BITXOR($K365,$L365),$M365),_xlfn.BITXOR($L365,_xlfn.BITOR($K365,4294967295-$M365)))))</f>
        <v>4207839108</v>
      </c>
      <c r="H366" s="7">
        <f>MOD($G366+$J365+$C366+$F366,4294967296)</f>
        <v>3807667518</v>
      </c>
      <c r="I366" s="7">
        <f>MOD($H366,2^(32-$D366))*2^$D366+INT($H366/2^(32-$D366))</f>
        <v>1698620148</v>
      </c>
      <c r="J366" s="7">
        <f>$M365</f>
        <v>2306032898</v>
      </c>
      <c r="K366" s="7">
        <f>MOD($K365+$I366,4294967296)</f>
        <v>2913850362</v>
      </c>
      <c r="L366" s="7">
        <f>$K365</f>
        <v>1215230214</v>
      </c>
      <c r="M366" s="7">
        <f>$L365</f>
        <v>1003697024</v>
      </c>
    </row>
    <row r="367" spans="1:13">
      <c r="A367" s="7">
        <v>6</v>
      </c>
      <c r="B367" s="7">
        <v>39</v>
      </c>
      <c r="C367" s="7">
        <f>INDEX(Sheet2!$B$2:$B$65,$B367+1)</f>
        <v>3200236656</v>
      </c>
      <c r="D367" s="7">
        <f>INDEX(Sheet2!$C$2:$C$65,$B367+1)</f>
        <v>23</v>
      </c>
      <c r="E367" s="7">
        <f>INDEX(Sheet2!$D$2:$D$65,$B367+1)</f>
        <v>10</v>
      </c>
      <c r="F367" s="7">
        <f>INDEX(Sheet3!$AY$2:$BN$11,$A367,$E367+1)</f>
        <v>0</v>
      </c>
      <c r="G367" s="7">
        <f>IF($B367&lt;16,_xlfn.BITOR(_xlfn.BITAND($K366,$L366),_xlfn.BITAND(4294967295-$K366,$M366)),IF($B367&lt;32,_xlfn.BITOR(_xlfn.BITAND($M366,$K366),_xlfn.BITAND(4294967295-$M366,$L366)),IF($B367&lt;48,_xlfn.BITXOR(_xlfn.BITXOR($K366,$L366),$M366),_xlfn.BITXOR($L366,_xlfn.BITOR($K366,4294967295-$M366)))))</f>
        <v>3725595004</v>
      </c>
      <c r="H367" s="7">
        <f>MOD($G367+$J366+$C367+$F367,4294967296)</f>
        <v>641929966</v>
      </c>
      <c r="I367" s="7">
        <f>MOD($H367,2^(32-$D367))*2^$D367+INT($H367/2^(32-$D367))</f>
        <v>1997742473</v>
      </c>
      <c r="J367" s="7">
        <f>$M366</f>
        <v>1003697024</v>
      </c>
      <c r="K367" s="7">
        <f>MOD($K366+$I367,4294967296)</f>
        <v>616625539</v>
      </c>
      <c r="L367" s="7">
        <f>$K366</f>
        <v>2913850362</v>
      </c>
      <c r="M367" s="7">
        <f>$L366</f>
        <v>1215230214</v>
      </c>
    </row>
    <row r="368" spans="1:13">
      <c r="A368" s="7">
        <v>6</v>
      </c>
      <c r="B368" s="7">
        <v>40</v>
      </c>
      <c r="C368" s="7">
        <f>INDEX(Sheet2!$B$2:$B$65,$B368+1)</f>
        <v>681279174</v>
      </c>
      <c r="D368" s="7">
        <f>INDEX(Sheet2!$C$2:$C$65,$B368+1)</f>
        <v>4</v>
      </c>
      <c r="E368" s="7">
        <f>INDEX(Sheet2!$D$2:$D$65,$B368+1)</f>
        <v>13</v>
      </c>
      <c r="F368" s="7">
        <f>INDEX(Sheet3!$AY$2:$BN$11,$A368,$E368+1)</f>
        <v>0</v>
      </c>
      <c r="G368" s="7">
        <f>IF($B368&lt;16,_xlfn.BITOR(_xlfn.BITAND($K367,$L367),_xlfn.BITAND(4294967295-$K367,$M367)),IF($B368&lt;32,_xlfn.BITOR(_xlfn.BITAND($M367,$K367),_xlfn.BITAND(4294967295-$M367,$L367)),IF($B368&lt;48,_xlfn.BITXOR(_xlfn.BITXOR($K367,$L367),$M367),_xlfn.BITXOR($L367,_xlfn.BITOR($K367,4294967295-$M367)))))</f>
        <v>3238254463</v>
      </c>
      <c r="H368" s="7">
        <f>MOD($G368+$J367+$C368+$F368,4294967296)</f>
        <v>628263365</v>
      </c>
      <c r="I368" s="7">
        <f>MOD($H368,2^(32-$D368))*2^$D368+INT($H368/2^(32-$D368))</f>
        <v>1462279250</v>
      </c>
      <c r="J368" s="7">
        <f>$M367</f>
        <v>1215230214</v>
      </c>
      <c r="K368" s="7">
        <f>MOD($K367+$I368,4294967296)</f>
        <v>2078904789</v>
      </c>
      <c r="L368" s="7">
        <f>$K367</f>
        <v>616625539</v>
      </c>
      <c r="M368" s="7">
        <f>$L367</f>
        <v>2913850362</v>
      </c>
    </row>
    <row r="369" spans="1:13">
      <c r="A369" s="7">
        <v>6</v>
      </c>
      <c r="B369" s="7">
        <v>41</v>
      </c>
      <c r="C369" s="7">
        <f>INDEX(Sheet2!$B$2:$B$65,$B369+1)</f>
        <v>3936430074</v>
      </c>
      <c r="D369" s="7">
        <f>INDEX(Sheet2!$C$2:$C$65,$B369+1)</f>
        <v>11</v>
      </c>
      <c r="E369" s="7">
        <f>INDEX(Sheet2!$D$2:$D$65,$B369+1)</f>
        <v>0</v>
      </c>
      <c r="F369" s="7">
        <f>INDEX(Sheet3!$AY$2:$BN$11,$A369,$E369+1)</f>
        <v>1701654643</v>
      </c>
      <c r="G369" s="7">
        <f>IF($B369&lt;16,_xlfn.BITOR(_xlfn.BITAND($K368,$L368),_xlfn.BITAND(4294967295-$K368,$M368)),IF($B369&lt;32,_xlfn.BITOR(_xlfn.BITAND($M368,$K368),_xlfn.BITAND(4294967295-$M368,$L368)),IF($B369&lt;48,_xlfn.BITXOR(_xlfn.BITXOR($K368,$L368),$M368),_xlfn.BITXOR($L368,_xlfn.BITOR($K368,4294967295-$M368)))))</f>
        <v>4068784044</v>
      </c>
      <c r="H369" s="7">
        <f>MOD($G369+$J368+$C369+$F369,4294967296)</f>
        <v>2332164383</v>
      </c>
      <c r="I369" s="7">
        <f>MOD($H369,2^(32-$D369))*2^$D369+INT($H369/2^(32-$D369))</f>
        <v>269024344</v>
      </c>
      <c r="J369" s="7">
        <f>$M368</f>
        <v>2913850362</v>
      </c>
      <c r="K369" s="7">
        <f>MOD($K368+$I369,4294967296)</f>
        <v>2347929133</v>
      </c>
      <c r="L369" s="7">
        <f>$K368</f>
        <v>2078904789</v>
      </c>
      <c r="M369" s="7">
        <f>$L368</f>
        <v>616625539</v>
      </c>
    </row>
    <row r="370" spans="1:13">
      <c r="A370" s="7">
        <v>6</v>
      </c>
      <c r="B370" s="7">
        <v>42</v>
      </c>
      <c r="C370" s="7">
        <f>INDEX(Sheet2!$B$2:$B$65,$B370+1)</f>
        <v>3572445317</v>
      </c>
      <c r="D370" s="7">
        <f>INDEX(Sheet2!$C$2:$C$65,$B370+1)</f>
        <v>16</v>
      </c>
      <c r="E370" s="7">
        <f>INDEX(Sheet2!$D$2:$D$65,$B370+1)</f>
        <v>3</v>
      </c>
      <c r="F370" s="7">
        <f>INDEX(Sheet3!$AY$2:$BN$11,$A370,$E370+1)</f>
        <v>1953248371</v>
      </c>
      <c r="G370" s="7">
        <f>IF($B370&lt;16,_xlfn.BITOR(_xlfn.BITAND($K369,$L369),_xlfn.BITAND(4294967295-$K369,$M369)),IF($B370&lt;32,_xlfn.BITOR(_xlfn.BITAND($M369,$K369),_xlfn.BITAND(4294967295-$M369,$L369)),IF($B370&lt;48,_xlfn.BITXOR(_xlfn.BITXOR($K369,$L369),$M369),_xlfn.BITXOR($L369,_xlfn.BITOR($K369,4294967295-$M369)))))</f>
        <v>3571182203</v>
      </c>
      <c r="H370" s="7">
        <f>MOD($G370+$J369+$C370+$F370,4294967296)</f>
        <v>3420791661</v>
      </c>
      <c r="I370" s="7">
        <f>MOD($H370,2^(32-$D370))*2^$D370+INT($H370/2^(32-$D370))</f>
        <v>594398181</v>
      </c>
      <c r="J370" s="7">
        <f>$M369</f>
        <v>616625539</v>
      </c>
      <c r="K370" s="7">
        <f>MOD($K369+$I370,4294967296)</f>
        <v>2942327314</v>
      </c>
      <c r="L370" s="7">
        <f>$K369</f>
        <v>2347929133</v>
      </c>
      <c r="M370" s="7">
        <f>$L369</f>
        <v>2078904789</v>
      </c>
    </row>
    <row r="371" spans="1:13">
      <c r="A371" s="7">
        <v>6</v>
      </c>
      <c r="B371" s="7">
        <v>43</v>
      </c>
      <c r="C371" s="7">
        <f>INDEX(Sheet2!$B$2:$B$65,$B371+1)</f>
        <v>76029189</v>
      </c>
      <c r="D371" s="7">
        <f>INDEX(Sheet2!$C$2:$C$65,$B371+1)</f>
        <v>23</v>
      </c>
      <c r="E371" s="7">
        <f>INDEX(Sheet2!$D$2:$D$65,$B371+1)</f>
        <v>6</v>
      </c>
      <c r="F371" s="7">
        <f>INDEX(Sheet3!$AY$2:$BN$11,$A371,$E371+1)</f>
        <v>0</v>
      </c>
      <c r="G371" s="7">
        <f>IF($B371&lt;16,_xlfn.BITOR(_xlfn.BITAND($K370,$L370),_xlfn.BITAND(4294967295-$K370,$M370)),IF($B371&lt;32,_xlfn.BITOR(_xlfn.BITAND($M370,$K370),_xlfn.BITAND(4294967295-$M370,$L370)),IF($B371&lt;48,_xlfn.BITXOR(_xlfn.BITXOR($K370,$L370),$M370),_xlfn.BITXOR($L370,_xlfn.BITOR($K370,4294967295-$M370)))))</f>
        <v>1601914346</v>
      </c>
      <c r="H371" s="7">
        <f>MOD($G371+$J370+$C371+$F371,4294967296)</f>
        <v>2294569074</v>
      </c>
      <c r="I371" s="7">
        <f>MOD($H371,2^(32-$D371))*2^$D371+INT($H371/2^(32-$D371))</f>
        <v>960782892</v>
      </c>
      <c r="J371" s="7">
        <f>$M370</f>
        <v>2078904789</v>
      </c>
      <c r="K371" s="7">
        <f>MOD($K370+$I371,4294967296)</f>
        <v>3903110206</v>
      </c>
      <c r="L371" s="7">
        <f>$K370</f>
        <v>2942327314</v>
      </c>
      <c r="M371" s="7">
        <f>$L370</f>
        <v>2347929133</v>
      </c>
    </row>
    <row r="372" spans="1:13">
      <c r="A372" s="7">
        <v>6</v>
      </c>
      <c r="B372" s="7">
        <v>44</v>
      </c>
      <c r="C372" s="7">
        <f>INDEX(Sheet2!$B$2:$B$65,$B372+1)</f>
        <v>3654602809</v>
      </c>
      <c r="D372" s="7">
        <f>INDEX(Sheet2!$C$2:$C$65,$B372+1)</f>
        <v>4</v>
      </c>
      <c r="E372" s="7">
        <f>INDEX(Sheet2!$D$2:$D$65,$B372+1)</f>
        <v>9</v>
      </c>
      <c r="F372" s="7">
        <f>INDEX(Sheet3!$AY$2:$BN$11,$A372,$E372+1)</f>
        <v>0</v>
      </c>
      <c r="G372" s="7">
        <f>IF($B372&lt;16,_xlfn.BITOR(_xlfn.BITAND($K371,$L371),_xlfn.BITAND(4294967295-$K371,$M371)),IF($B372&lt;32,_xlfn.BITOR(_xlfn.BITAND($M371,$K371),_xlfn.BITAND(4294967295-$M371,$L371)),IF($B372&lt;48,_xlfn.BITXOR(_xlfn.BITXOR($K371,$L371),$M371),_xlfn.BITXOR($L371,_xlfn.BITOR($K371,4294967295-$M371)))))</f>
        <v>3426117633</v>
      </c>
      <c r="H372" s="7">
        <f>MOD($G372+$J371+$C372+$F372,4294967296)</f>
        <v>569690639</v>
      </c>
      <c r="I372" s="7">
        <f>MOD($H372,2^(32-$D372))*2^$D372+INT($H372/2^(32-$D372))</f>
        <v>525115634</v>
      </c>
      <c r="J372" s="7">
        <f>$M371</f>
        <v>2347929133</v>
      </c>
      <c r="K372" s="7">
        <f>MOD($K371+$I372,4294967296)</f>
        <v>133258544</v>
      </c>
      <c r="L372" s="7">
        <f>$K371</f>
        <v>3903110206</v>
      </c>
      <c r="M372" s="7">
        <f>$L371</f>
        <v>2942327314</v>
      </c>
    </row>
    <row r="373" spans="1:13">
      <c r="A373" s="7">
        <v>6</v>
      </c>
      <c r="B373" s="7">
        <v>45</v>
      </c>
      <c r="C373" s="7">
        <f>INDEX(Sheet2!$B$2:$B$65,$B373+1)</f>
        <v>3873151461</v>
      </c>
      <c r="D373" s="7">
        <f>INDEX(Sheet2!$C$2:$C$65,$B373+1)</f>
        <v>11</v>
      </c>
      <c r="E373" s="7">
        <f>INDEX(Sheet2!$D$2:$D$65,$B373+1)</f>
        <v>12</v>
      </c>
      <c r="F373" s="7">
        <f>INDEX(Sheet3!$AY$2:$BN$11,$A373,$E373+1)</f>
        <v>0</v>
      </c>
      <c r="G373" s="7">
        <f>IF($B373&lt;16,_xlfn.BITOR(_xlfn.BITAND($K372,$L372),_xlfn.BITAND(4294967295-$K372,$M372)),IF($B373&lt;32,_xlfn.BITOR(_xlfn.BITAND($M372,$K372),_xlfn.BITAND(4294967295-$M372,$L372)),IF($B373&lt;48,_xlfn.BITXOR(_xlfn.BITXOR($K372,$L372),$M372),_xlfn.BITXOR($L372,_xlfn.BITOR($K372,4294967295-$M372)))))</f>
        <v>1077263132</v>
      </c>
      <c r="H373" s="7">
        <f>MOD($G373+$J372+$C373+$F373,4294967296)</f>
        <v>3003376430</v>
      </c>
      <c r="I373" s="7">
        <f>MOD($H373,2^(32-$D373))*2^$D373+INT($H373/2^(32-$D373))</f>
        <v>521762200</v>
      </c>
      <c r="J373" s="7">
        <f>$M372</f>
        <v>2942327314</v>
      </c>
      <c r="K373" s="7">
        <f>MOD($K372+$I373,4294967296)</f>
        <v>655020744</v>
      </c>
      <c r="L373" s="7">
        <f>$K372</f>
        <v>133258544</v>
      </c>
      <c r="M373" s="7">
        <f>$L372</f>
        <v>3903110206</v>
      </c>
    </row>
    <row r="374" spans="1:13">
      <c r="A374" s="7">
        <v>6</v>
      </c>
      <c r="B374" s="7">
        <v>46</v>
      </c>
      <c r="C374" s="7">
        <f>INDEX(Sheet2!$B$2:$B$65,$B374+1)</f>
        <v>530742520</v>
      </c>
      <c r="D374" s="7">
        <f>INDEX(Sheet2!$C$2:$C$65,$B374+1)</f>
        <v>16</v>
      </c>
      <c r="E374" s="7">
        <f>INDEX(Sheet2!$D$2:$D$65,$B374+1)</f>
        <v>15</v>
      </c>
      <c r="F374" s="7">
        <f>INDEX(Sheet3!$AY$2:$BN$11,$A374,$E374+1)</f>
        <v>0</v>
      </c>
      <c r="G374" s="7">
        <f>IF($B374&lt;16,_xlfn.BITOR(_xlfn.BITAND($K373,$L373),_xlfn.BITAND(4294967295-$K373,$M373)),IF($B374&lt;32,_xlfn.BITOR(_xlfn.BITAND($M373,$K373),_xlfn.BITAND(4294967295-$M373,$L373)),IF($B374&lt;48,_xlfn.BITXOR(_xlfn.BITXOR($K373,$L373),$M373),_xlfn.BITXOR($L373,_xlfn.BITOR($K373,4294967295-$M373)))))</f>
        <v>3361682374</v>
      </c>
      <c r="H374" s="7">
        <f>MOD($G374+$J373+$C374+$F374,4294967296)</f>
        <v>2539784912</v>
      </c>
      <c r="I374" s="7">
        <f>MOD($H374,2^(32-$D374))*2^$D374+INT($H374/2^(32-$D374))</f>
        <v>181442402</v>
      </c>
      <c r="J374" s="7">
        <f>$M373</f>
        <v>3903110206</v>
      </c>
      <c r="K374" s="7">
        <f>MOD($K373+$I374,4294967296)</f>
        <v>836463146</v>
      </c>
      <c r="L374" s="7">
        <f>$K373</f>
        <v>655020744</v>
      </c>
      <c r="M374" s="7">
        <f>$L373</f>
        <v>133258544</v>
      </c>
    </row>
    <row r="375" spans="1:13">
      <c r="A375" s="7">
        <v>6</v>
      </c>
      <c r="B375" s="7">
        <v>47</v>
      </c>
      <c r="C375" s="7">
        <f>INDEX(Sheet2!$B$2:$B$65,$B375+1)</f>
        <v>3299628645</v>
      </c>
      <c r="D375" s="7">
        <f>INDEX(Sheet2!$C$2:$C$65,$B375+1)</f>
        <v>23</v>
      </c>
      <c r="E375" s="7">
        <f>INDEX(Sheet2!$D$2:$D$65,$B375+1)</f>
        <v>2</v>
      </c>
      <c r="F375" s="7">
        <f>INDEX(Sheet3!$AY$2:$BN$11,$A375,$E375+1)</f>
        <v>1601792820</v>
      </c>
      <c r="G375" s="7">
        <f>IF($B375&lt;16,_xlfn.BITOR(_xlfn.BITAND($K374,$L374),_xlfn.BITAND(4294967295-$K374,$M374)),IF($B375&lt;32,_xlfn.BITOR(_xlfn.BITAND($M374,$K374),_xlfn.BITAND(4294967295-$M374,$L374)),IF($B375&lt;48,_xlfn.BITXOR(_xlfn.BITXOR($K374,$L374),$M374),_xlfn.BITXOR($L374,_xlfn.BITOR($K374,4294967295-$M374)))))</f>
        <v>287368658</v>
      </c>
      <c r="H375" s="7">
        <f>MOD($G375+$J374+$C375+$F375,4294967296)</f>
        <v>501965737</v>
      </c>
      <c r="I375" s="7">
        <f>MOD($H375,2^(32-$D375))*2^$D375+INT($H375/2^(32-$D375))</f>
        <v>3566138801</v>
      </c>
      <c r="J375" s="7">
        <f>$M374</f>
        <v>133258544</v>
      </c>
      <c r="K375" s="7">
        <f>MOD($K374+$I375,4294967296)</f>
        <v>107634651</v>
      </c>
      <c r="L375" s="7">
        <f>$K374</f>
        <v>836463146</v>
      </c>
      <c r="M375" s="7">
        <f>$L374</f>
        <v>655020744</v>
      </c>
    </row>
    <row r="376" spans="1:13">
      <c r="A376" s="7">
        <v>6</v>
      </c>
      <c r="B376" s="7">
        <v>48</v>
      </c>
      <c r="C376" s="7">
        <f>INDEX(Sheet2!$B$2:$B$65,$B376+1)</f>
        <v>4096336452</v>
      </c>
      <c r="D376" s="7">
        <f>INDEX(Sheet2!$C$2:$C$65,$B376+1)</f>
        <v>6</v>
      </c>
      <c r="E376" s="7">
        <f>INDEX(Sheet2!$D$2:$D$65,$B376+1)</f>
        <v>0</v>
      </c>
      <c r="F376" s="7">
        <f>INDEX(Sheet3!$AY$2:$BN$11,$A376,$E376+1)</f>
        <v>1701654643</v>
      </c>
      <c r="G376" s="7">
        <f>IF($B376&lt;16,_xlfn.BITOR(_xlfn.BITAND($K375,$L375),_xlfn.BITAND(4294967295-$K375,$M375)),IF($B376&lt;32,_xlfn.BITOR(_xlfn.BITAND($M375,$K375),_xlfn.BITAND(4294967295-$M375,$L375)),IF($B376&lt;48,_xlfn.BITXOR(_xlfn.BITXOR($K375,$L375),$M375),_xlfn.BITXOR($L375,_xlfn.BITOR($K375,4294967295-$M375)))))</f>
        <v>4012119509</v>
      </c>
      <c r="H376" s="7">
        <f>MOD($G376+$J375+$C376+$F376,4294967296)</f>
        <v>1353434556</v>
      </c>
      <c r="I376" s="7">
        <f>MOD($H376,2^(32-$D376))*2^$D376+INT($H376/2^(32-$D376))</f>
        <v>720465684</v>
      </c>
      <c r="J376" s="7">
        <f>$M375</f>
        <v>655020744</v>
      </c>
      <c r="K376" s="7">
        <f>MOD($K375+$I376,4294967296)</f>
        <v>828100335</v>
      </c>
      <c r="L376" s="7">
        <f>$K375</f>
        <v>107634651</v>
      </c>
      <c r="M376" s="7">
        <f>$L375</f>
        <v>836463146</v>
      </c>
    </row>
    <row r="377" spans="1:13">
      <c r="A377" s="7">
        <v>6</v>
      </c>
      <c r="B377" s="7">
        <v>49</v>
      </c>
      <c r="C377" s="7">
        <f>INDEX(Sheet2!$B$2:$B$65,$B377+1)</f>
        <v>1126891415</v>
      </c>
      <c r="D377" s="7">
        <f>INDEX(Sheet2!$C$2:$C$65,$B377+1)</f>
        <v>10</v>
      </c>
      <c r="E377" s="7">
        <f>INDEX(Sheet2!$D$2:$D$65,$B377+1)</f>
        <v>7</v>
      </c>
      <c r="F377" s="7">
        <f>INDEX(Sheet3!$AY$2:$BN$11,$A377,$E377+1)</f>
        <v>0</v>
      </c>
      <c r="G377" s="7">
        <f>IF($B377&lt;16,_xlfn.BITOR(_xlfn.BITAND($K376,$L376),_xlfn.BITAND(4294967295-$K376,$M376)),IF($B377&lt;32,_xlfn.BITOR(_xlfn.BITAND($M376,$K376),_xlfn.BITAND(4294967295-$M376,$L376)),IF($B377&lt;48,_xlfn.BITXOR(_xlfn.BITXOR($K376,$L376),$M376),_xlfn.BITXOR($L376,_xlfn.BITOR($K376,4294967295-$M376)))))</f>
        <v>4178935844</v>
      </c>
      <c r="H377" s="7">
        <f>MOD($G377+$J376+$C377+$F377,4294967296)</f>
        <v>1665880707</v>
      </c>
      <c r="I377" s="7">
        <f>MOD($H377,2^(32-$D377))*2^$D377+INT($H377/2^(32-$D377))</f>
        <v>759827853</v>
      </c>
      <c r="J377" s="7">
        <f>$M376</f>
        <v>836463146</v>
      </c>
      <c r="K377" s="7">
        <f>MOD($K376+$I377,4294967296)</f>
        <v>1587928188</v>
      </c>
      <c r="L377" s="7">
        <f>$K376</f>
        <v>828100335</v>
      </c>
      <c r="M377" s="7">
        <f>$L376</f>
        <v>107634651</v>
      </c>
    </row>
    <row r="378" spans="1:13">
      <c r="A378" s="7">
        <v>6</v>
      </c>
      <c r="B378" s="7">
        <v>50</v>
      </c>
      <c r="C378" s="7">
        <f>INDEX(Sheet2!$B$2:$B$65,$B378+1)</f>
        <v>2878612391</v>
      </c>
      <c r="D378" s="7">
        <f>INDEX(Sheet2!$C$2:$C$65,$B378+1)</f>
        <v>15</v>
      </c>
      <c r="E378" s="7">
        <f>INDEX(Sheet2!$D$2:$D$65,$B378+1)</f>
        <v>14</v>
      </c>
      <c r="F378" s="7">
        <f>INDEX(Sheet3!$AY$2:$BN$11,$A378,$E378+1)</f>
        <v>152</v>
      </c>
      <c r="G378" s="7">
        <f>IF($B378&lt;16,_xlfn.BITOR(_xlfn.BITAND($K377,$L377),_xlfn.BITAND(4294967295-$K377,$M377)),IF($B378&lt;32,_xlfn.BITOR(_xlfn.BITAND($M377,$K377),_xlfn.BITAND(4294967295-$M377,$L377)),IF($B378&lt;48,_xlfn.BITXOR(_xlfn.BITXOR($K377,$L377),$M377),_xlfn.BITXOR($L377,_xlfn.BITOR($K377,4294967295-$M377)))))</f>
        <v>3471717011</v>
      </c>
      <c r="H378" s="7">
        <f>MOD($G378+$J377+$C378+$F378,4294967296)</f>
        <v>2891825404</v>
      </c>
      <c r="I378" s="7">
        <f>MOD($H378,2^(32-$D378))*2^$D378+INT($H378/2^(32-$D378))</f>
        <v>3766375982</v>
      </c>
      <c r="J378" s="7">
        <f>$M377</f>
        <v>107634651</v>
      </c>
      <c r="K378" s="7">
        <f>MOD($K377+$I378,4294967296)</f>
        <v>1059336874</v>
      </c>
      <c r="L378" s="7">
        <f>$K377</f>
        <v>1587928188</v>
      </c>
      <c r="M378" s="7">
        <f>$L377</f>
        <v>828100335</v>
      </c>
    </row>
    <row r="379" spans="1:13">
      <c r="A379" s="7">
        <v>6</v>
      </c>
      <c r="B379" s="7">
        <v>51</v>
      </c>
      <c r="C379" s="7">
        <f>INDEX(Sheet2!$B$2:$B$65,$B379+1)</f>
        <v>4237533241</v>
      </c>
      <c r="D379" s="7">
        <f>INDEX(Sheet2!$C$2:$C$65,$B379+1)</f>
        <v>21</v>
      </c>
      <c r="E379" s="7">
        <f>INDEX(Sheet2!$D$2:$D$65,$B379+1)</f>
        <v>5</v>
      </c>
      <c r="F379" s="7">
        <f>INDEX(Sheet3!$AY$2:$BN$11,$A379,$E379+1)</f>
        <v>0</v>
      </c>
      <c r="G379" s="7">
        <f>IF($B379&lt;16,_xlfn.BITOR(_xlfn.BITAND($K378,$L378),_xlfn.BITAND(4294967295-$K378,$M378)),IF($B379&lt;32,_xlfn.BITOR(_xlfn.BITAND($M378,$K378),_xlfn.BITAND(4294967295-$M378,$L378)),IF($B379&lt;48,_xlfn.BITXOR(_xlfn.BITXOR($K378,$L378),$M378),_xlfn.BITXOR($L378,_xlfn.BITOR($K378,4294967295-$M378)))))</f>
        <v>2701258694</v>
      </c>
      <c r="H379" s="7">
        <f>MOD($G379+$J378+$C379+$F379,4294967296)</f>
        <v>2751459290</v>
      </c>
      <c r="I379" s="7">
        <f>MOD($H379,2^(32-$D379))*2^$D379+INT($H379/2^(32-$D379))</f>
        <v>4216619005</v>
      </c>
      <c r="J379" s="7">
        <f>$M378</f>
        <v>828100335</v>
      </c>
      <c r="K379" s="7">
        <f>MOD($K378+$I379,4294967296)</f>
        <v>980988583</v>
      </c>
      <c r="L379" s="7">
        <f>$K378</f>
        <v>1059336874</v>
      </c>
      <c r="M379" s="7">
        <f>$L378</f>
        <v>1587928188</v>
      </c>
    </row>
    <row r="380" spans="1:13">
      <c r="A380" s="7">
        <v>6</v>
      </c>
      <c r="B380" s="7">
        <v>52</v>
      </c>
      <c r="C380" s="7">
        <f>INDEX(Sheet2!$B$2:$B$65,$B380+1)</f>
        <v>1700485571</v>
      </c>
      <c r="D380" s="7">
        <f>INDEX(Sheet2!$C$2:$C$65,$B380+1)</f>
        <v>6</v>
      </c>
      <c r="E380" s="7">
        <f>INDEX(Sheet2!$D$2:$D$65,$B380+1)</f>
        <v>12</v>
      </c>
      <c r="F380" s="7">
        <f>INDEX(Sheet3!$AY$2:$BN$11,$A380,$E380+1)</f>
        <v>0</v>
      </c>
      <c r="G380" s="7">
        <f>IF($B380&lt;16,_xlfn.BITOR(_xlfn.BITAND($K379,$L379),_xlfn.BITAND(4294967295-$K379,$M379)),IF($B380&lt;32,_xlfn.BITOR(_xlfn.BITAND($M379,$K379),_xlfn.BITAND(4294967295-$M379,$L379)),IF($B380&lt;48,_xlfn.BITXOR(_xlfn.BITXOR($K379,$L379),$M379),_xlfn.BITXOR($L379,_xlfn.BITOR($K379,4294967295-$M379)))))</f>
        <v>2220785933</v>
      </c>
      <c r="H380" s="7">
        <f>MOD($G380+$J379+$C380+$F380,4294967296)</f>
        <v>454404543</v>
      </c>
      <c r="I380" s="7">
        <f>MOD($H380,2^(32-$D380))*2^$D380+INT($H380/2^(32-$D380))</f>
        <v>3312086982</v>
      </c>
      <c r="J380" s="7">
        <f>$M379</f>
        <v>1587928188</v>
      </c>
      <c r="K380" s="7">
        <f>MOD($K379+$I380,4294967296)</f>
        <v>4293075565</v>
      </c>
      <c r="L380" s="7">
        <f>$K379</f>
        <v>980988583</v>
      </c>
      <c r="M380" s="7">
        <f>$L379</f>
        <v>1059336874</v>
      </c>
    </row>
    <row r="381" spans="1:13">
      <c r="A381" s="7">
        <v>6</v>
      </c>
      <c r="B381" s="7">
        <v>53</v>
      </c>
      <c r="C381" s="7">
        <f>INDEX(Sheet2!$B$2:$B$65,$B381+1)</f>
        <v>2399980690</v>
      </c>
      <c r="D381" s="7">
        <f>INDEX(Sheet2!$C$2:$C$65,$B381+1)</f>
        <v>10</v>
      </c>
      <c r="E381" s="7">
        <f>INDEX(Sheet2!$D$2:$D$65,$B381+1)</f>
        <v>3</v>
      </c>
      <c r="F381" s="7">
        <f>INDEX(Sheet3!$AY$2:$BN$11,$A381,$E381+1)</f>
        <v>1953248371</v>
      </c>
      <c r="G381" s="7">
        <f>IF($B381&lt;16,_xlfn.BITOR(_xlfn.BITAND($K380,$L380),_xlfn.BITAND(4294967295-$K380,$M380)),IF($B381&lt;32,_xlfn.BITOR(_xlfn.BITAND($M380,$K380),_xlfn.BITAND(4294967295-$M380,$L380)),IF($B381&lt;48,_xlfn.BITXOR(_xlfn.BITXOR($K380,$L380),$M380),_xlfn.BITXOR($L380,_xlfn.BITOR($K380,4294967295-$M380)))))</f>
        <v>3313720794</v>
      </c>
      <c r="H381" s="7">
        <f>MOD($G381+$J380+$C381+$F381,4294967296)</f>
        <v>664943451</v>
      </c>
      <c r="I381" s="7">
        <f>MOD($H381,2^(32-$D381))*2^$D381+INT($H381/2^(32-$D381))</f>
        <v>2297261214</v>
      </c>
      <c r="J381" s="7">
        <f>$M380</f>
        <v>1059336874</v>
      </c>
      <c r="K381" s="7">
        <f>MOD($K380+$I381,4294967296)</f>
        <v>2295369483</v>
      </c>
      <c r="L381" s="7">
        <f>$K380</f>
        <v>4293075565</v>
      </c>
      <c r="M381" s="7">
        <f>$L380</f>
        <v>980988583</v>
      </c>
    </row>
    <row r="382" spans="1:13">
      <c r="A382" s="7">
        <v>6</v>
      </c>
      <c r="B382" s="7">
        <v>54</v>
      </c>
      <c r="C382" s="7">
        <f>INDEX(Sheet2!$B$2:$B$65,$B382+1)</f>
        <v>4293915773</v>
      </c>
      <c r="D382" s="7">
        <f>INDEX(Sheet2!$C$2:$C$65,$B382+1)</f>
        <v>15</v>
      </c>
      <c r="E382" s="7">
        <f>INDEX(Sheet2!$D$2:$D$65,$B382+1)</f>
        <v>10</v>
      </c>
      <c r="F382" s="7">
        <f>INDEX(Sheet3!$AY$2:$BN$11,$A382,$E382+1)</f>
        <v>0</v>
      </c>
      <c r="G382" s="7">
        <f>IF($B382&lt;16,_xlfn.BITOR(_xlfn.BITAND($K381,$L381),_xlfn.BITAND(4294967295-$K381,$M381)),IF($B382&lt;32,_xlfn.BITOR(_xlfn.BITAND($M381,$K381),_xlfn.BITAND(4294967295-$M381,$L381)),IF($B382&lt;48,_xlfn.BITXOR(_xlfn.BITXOR($K381,$L381),$M381),_xlfn.BITXOR($L381,_xlfn.BITOR($K381,4294967295-$M381)))))</f>
        <v>842329398</v>
      </c>
      <c r="H382" s="7">
        <f>MOD($G382+$J381+$C382+$F382,4294967296)</f>
        <v>1900614749</v>
      </c>
      <c r="I382" s="7">
        <f>MOD($H382,2^(32-$D382))*2^$D382+INT($H382/2^(32-$D382))</f>
        <v>2318317732</v>
      </c>
      <c r="J382" s="7">
        <f>$M381</f>
        <v>980988583</v>
      </c>
      <c r="K382" s="7">
        <f>MOD($K381+$I382,4294967296)</f>
        <v>318719919</v>
      </c>
      <c r="L382" s="7">
        <f>$K381</f>
        <v>2295369483</v>
      </c>
      <c r="M382" s="7">
        <f>$L381</f>
        <v>4293075565</v>
      </c>
    </row>
    <row r="383" spans="1:13">
      <c r="A383" s="7">
        <v>6</v>
      </c>
      <c r="B383" s="7">
        <v>55</v>
      </c>
      <c r="C383" s="7">
        <f>INDEX(Sheet2!$B$2:$B$65,$B383+1)</f>
        <v>2240044497</v>
      </c>
      <c r="D383" s="7">
        <f>INDEX(Sheet2!$C$2:$C$65,$B383+1)</f>
        <v>21</v>
      </c>
      <c r="E383" s="7">
        <f>INDEX(Sheet2!$D$2:$D$65,$B383+1)</f>
        <v>1</v>
      </c>
      <c r="F383" s="7">
        <f>INDEX(Sheet3!$AY$2:$BN$11,$A383,$E383+1)</f>
        <v>862876511</v>
      </c>
      <c r="G383" s="7">
        <f>IF($B383&lt;16,_xlfn.BITOR(_xlfn.BITAND($K382,$L382),_xlfn.BITAND(4294967295-$K382,$M382)),IF($B383&lt;32,_xlfn.BITOR(_xlfn.BITAND($M382,$K382),_xlfn.BITAND(4294967295-$M382,$L382)),IF($B383&lt;48,_xlfn.BITXOR(_xlfn.BITXOR($K382,$L382),$M382),_xlfn.BITXOR($L382,_xlfn.BITOR($K382,4294967295-$M382)))))</f>
        <v>2586792116</v>
      </c>
      <c r="H383" s="7">
        <f>MOD($G383+$J382+$C383+$F383,4294967296)</f>
        <v>2375734411</v>
      </c>
      <c r="I383" s="7">
        <f>MOD($H383,2^(32-$D383))*2^$D383+INT($H383/2^(32-$D383))</f>
        <v>2440147802</v>
      </c>
      <c r="J383" s="7">
        <f>$M382</f>
        <v>4293075565</v>
      </c>
      <c r="K383" s="7">
        <f>MOD($K382+$I383,4294967296)</f>
        <v>2758867721</v>
      </c>
      <c r="L383" s="7">
        <f>$K382</f>
        <v>318719919</v>
      </c>
      <c r="M383" s="7">
        <f>$L382</f>
        <v>2295369483</v>
      </c>
    </row>
    <row r="384" spans="1:13">
      <c r="A384" s="7">
        <v>6</v>
      </c>
      <c r="B384" s="7">
        <v>56</v>
      </c>
      <c r="C384" s="7">
        <f>INDEX(Sheet2!$B$2:$B$65,$B384+1)</f>
        <v>1873313359</v>
      </c>
      <c r="D384" s="7">
        <f>INDEX(Sheet2!$C$2:$C$65,$B384+1)</f>
        <v>6</v>
      </c>
      <c r="E384" s="7">
        <f>INDEX(Sheet2!$D$2:$D$65,$B384+1)</f>
        <v>8</v>
      </c>
      <c r="F384" s="7">
        <f>INDEX(Sheet3!$AY$2:$BN$11,$A384,$E384+1)</f>
        <v>0</v>
      </c>
      <c r="G384" s="7">
        <f>IF($B384&lt;16,_xlfn.BITOR(_xlfn.BITAND($K383,$L383),_xlfn.BITAND(4294967295-$K383,$M383)),IF($B384&lt;32,_xlfn.BITOR(_xlfn.BITAND($M383,$K383),_xlfn.BITAND(4294967295-$M383,$L383)),IF($B384&lt;48,_xlfn.BITXOR(_xlfn.BITXOR($K383,$L383),$M383),_xlfn.BITXOR($L383,_xlfn.BITOR($K383,4294967295-$M383)))))</f>
        <v>3850419282</v>
      </c>
      <c r="H384" s="7">
        <f>MOD($G384+$J383+$C384+$F384,4294967296)</f>
        <v>1426873614</v>
      </c>
      <c r="I384" s="7">
        <f>MOD($H384,2^(32-$D384))*2^$D384+INT($H384/2^(32-$D384))</f>
        <v>1125598101</v>
      </c>
      <c r="J384" s="7">
        <f>$M383</f>
        <v>2295369483</v>
      </c>
      <c r="K384" s="7">
        <f>MOD($K383+$I384,4294967296)</f>
        <v>3884465822</v>
      </c>
      <c r="L384" s="7">
        <f>$K383</f>
        <v>2758867721</v>
      </c>
      <c r="M384" s="7">
        <f>$L383</f>
        <v>318719919</v>
      </c>
    </row>
    <row r="385" spans="1:13">
      <c r="A385" s="7">
        <v>6</v>
      </c>
      <c r="B385" s="7">
        <v>57</v>
      </c>
      <c r="C385" s="7">
        <f>INDEX(Sheet2!$B$2:$B$65,$B385+1)</f>
        <v>4264355552</v>
      </c>
      <c r="D385" s="7">
        <f>INDEX(Sheet2!$C$2:$C$65,$B385+1)</f>
        <v>10</v>
      </c>
      <c r="E385" s="7">
        <f>INDEX(Sheet2!$D$2:$D$65,$B385+1)</f>
        <v>15</v>
      </c>
      <c r="F385" s="7">
        <f>INDEX(Sheet3!$AY$2:$BN$11,$A385,$E385+1)</f>
        <v>0</v>
      </c>
      <c r="G385" s="7">
        <f>IF($B385&lt;16,_xlfn.BITOR(_xlfn.BITAND($K384,$L384),_xlfn.BITAND(4294967295-$K384,$M384)),IF($B385&lt;32,_xlfn.BITOR(_xlfn.BITAND($M384,$K384),_xlfn.BITAND(4294967295-$M384,$L384)),IF($B385&lt;48,_xlfn.BITXOR(_xlfn.BITXOR($K384,$L384),$M384),_xlfn.BITXOR($L384,_xlfn.BITOR($K384,4294967295-$M384)))))</f>
        <v>1274562007</v>
      </c>
      <c r="H385" s="7">
        <f>MOD($G385+$J384+$C385+$F385,4294967296)</f>
        <v>3539319746</v>
      </c>
      <c r="I385" s="7">
        <f>MOD($H385,2^(32-$D385))*2^$D385+INT($H385/2^(32-$D385))</f>
        <v>3605990219</v>
      </c>
      <c r="J385" s="7">
        <f>$M384</f>
        <v>318719919</v>
      </c>
      <c r="K385" s="7">
        <f>MOD($K384+$I385,4294967296)</f>
        <v>3195488745</v>
      </c>
      <c r="L385" s="7">
        <f>$K384</f>
        <v>3884465822</v>
      </c>
      <c r="M385" s="7">
        <f>$L384</f>
        <v>2758867721</v>
      </c>
    </row>
    <row r="386" spans="1:13">
      <c r="A386" s="7">
        <v>6</v>
      </c>
      <c r="B386" s="7">
        <v>58</v>
      </c>
      <c r="C386" s="7">
        <f>INDEX(Sheet2!$B$2:$B$65,$B386+1)</f>
        <v>2734768916</v>
      </c>
      <c r="D386" s="7">
        <f>INDEX(Sheet2!$C$2:$C$65,$B386+1)</f>
        <v>15</v>
      </c>
      <c r="E386" s="7">
        <f>INDEX(Sheet2!$D$2:$D$65,$B386+1)</f>
        <v>6</v>
      </c>
      <c r="F386" s="7">
        <f>INDEX(Sheet3!$AY$2:$BN$11,$A386,$E386+1)</f>
        <v>0</v>
      </c>
      <c r="G386" s="7">
        <f>IF($B386&lt;16,_xlfn.BITOR(_xlfn.BITAND($K385,$L385),_xlfn.BITAND(4294967295-$K385,$M385)),IF($B386&lt;32,_xlfn.BITOR(_xlfn.BITAND($M385,$K385),_xlfn.BITAND(4294967295-$M385,$L385)),IF($B386&lt;48,_xlfn.BITXOR(_xlfn.BITXOR($K385,$L385),$M385),_xlfn.BITXOR($L385,_xlfn.BITOR($K385,4294967295-$M385)))))</f>
        <v>410481505</v>
      </c>
      <c r="H386" s="7">
        <f>MOD($G386+$J385+$C386+$F386,4294967296)</f>
        <v>3463970340</v>
      </c>
      <c r="I386" s="7">
        <f>MOD($H386,2^(32-$D386))*2^$D386+INT($H386/2^(32-$D386))</f>
        <v>4279396155</v>
      </c>
      <c r="J386" s="7">
        <f>$M385</f>
        <v>2758867721</v>
      </c>
      <c r="K386" s="7">
        <f>MOD($K385+$I386,4294967296)</f>
        <v>3179917604</v>
      </c>
      <c r="L386" s="7">
        <f>$K385</f>
        <v>3195488745</v>
      </c>
      <c r="M386" s="7">
        <f>$L385</f>
        <v>3884465822</v>
      </c>
    </row>
    <row r="387" spans="1:13">
      <c r="A387" s="7">
        <v>6</v>
      </c>
      <c r="B387" s="7">
        <v>59</v>
      </c>
      <c r="C387" s="7">
        <f>INDEX(Sheet2!$B$2:$B$65,$B387+1)</f>
        <v>1309151649</v>
      </c>
      <c r="D387" s="7">
        <f>INDEX(Sheet2!$C$2:$C$65,$B387+1)</f>
        <v>21</v>
      </c>
      <c r="E387" s="7">
        <f>INDEX(Sheet2!$D$2:$D$65,$B387+1)</f>
        <v>13</v>
      </c>
      <c r="F387" s="7">
        <f>INDEX(Sheet3!$AY$2:$BN$11,$A387,$E387+1)</f>
        <v>0</v>
      </c>
      <c r="G387" s="7">
        <f>IF($B387&lt;16,_xlfn.BITOR(_xlfn.BITAND($K386,$L386),_xlfn.BITAND(4294967295-$K386,$M386)),IF($B387&lt;32,_xlfn.BITOR(_xlfn.BITAND($M386,$K386),_xlfn.BITAND(4294967295-$M386,$L386)),IF($B387&lt;48,_xlfn.BITXOR(_xlfn.BITXOR($K386,$L386),$M386),_xlfn.BITXOR($L386,_xlfn.BITOR($K386,4294967295-$M386)))))</f>
        <v>59291788</v>
      </c>
      <c r="H387" s="7">
        <f>MOD($G387+$J386+$C387+$F387,4294967296)</f>
        <v>4127311158</v>
      </c>
      <c r="I387" s="7">
        <f>MOD($H387,2^(32-$D387))*2^$D387+INT($H387/2^(32-$D387))</f>
        <v>2799616056</v>
      </c>
      <c r="J387" s="7">
        <f>$M386</f>
        <v>3884465822</v>
      </c>
      <c r="K387" s="7">
        <f>MOD($K386+$I387,4294967296)</f>
        <v>1684566364</v>
      </c>
      <c r="L387" s="7">
        <f>$K386</f>
        <v>3179917604</v>
      </c>
      <c r="M387" s="7">
        <f>$L386</f>
        <v>3195488745</v>
      </c>
    </row>
    <row r="388" spans="1:13">
      <c r="A388" s="7">
        <v>6</v>
      </c>
      <c r="B388" s="7">
        <v>60</v>
      </c>
      <c r="C388" s="7">
        <f>INDEX(Sheet2!$B$2:$B$65,$B388+1)</f>
        <v>4149444226</v>
      </c>
      <c r="D388" s="7">
        <f>INDEX(Sheet2!$C$2:$C$65,$B388+1)</f>
        <v>6</v>
      </c>
      <c r="E388" s="7">
        <f>INDEX(Sheet2!$D$2:$D$65,$B388+1)</f>
        <v>4</v>
      </c>
      <c r="F388" s="7">
        <f>INDEX(Sheet3!$AY$2:$BN$11,$A388,$E388+1)</f>
        <v>2151628607</v>
      </c>
      <c r="G388" s="7">
        <f>IF($B388&lt;16,_xlfn.BITOR(_xlfn.BITAND($K387,$L387),_xlfn.BITAND(4294967295-$K387,$M387)),IF($B388&lt;32,_xlfn.BITOR(_xlfn.BITAND($M387,$K387),_xlfn.BITAND(4294967295-$M387,$L387)),IF($B388&lt;48,_xlfn.BITXOR(_xlfn.BITXOR($K387,$L387),$M387),_xlfn.BITXOR($L387,_xlfn.BITOR($K387,4294967295-$M387)))))</f>
        <v>3630253690</v>
      </c>
      <c r="H388" s="7">
        <f>MOD($G388+$J387+$C388+$F388,4294967296)</f>
        <v>930890457</v>
      </c>
      <c r="I388" s="7">
        <f>MOD($H388,2^(32-$D388))*2^$D388+INT($H388/2^(32-$D388))</f>
        <v>3742414413</v>
      </c>
      <c r="J388" s="7">
        <f>$M387</f>
        <v>3195488745</v>
      </c>
      <c r="K388" s="7">
        <f>MOD($K387+$I388,4294967296)</f>
        <v>1132013481</v>
      </c>
      <c r="L388" s="7">
        <f>$K387</f>
        <v>1684566364</v>
      </c>
      <c r="M388" s="7">
        <f>$L387</f>
        <v>3179917604</v>
      </c>
    </row>
    <row r="389" spans="1:13">
      <c r="A389" s="7">
        <v>6</v>
      </c>
      <c r="B389" s="7">
        <v>61</v>
      </c>
      <c r="C389" s="7">
        <f>INDEX(Sheet2!$B$2:$B$65,$B389+1)</f>
        <v>3174756917</v>
      </c>
      <c r="D389" s="7">
        <f>INDEX(Sheet2!$C$2:$C$65,$B389+1)</f>
        <v>10</v>
      </c>
      <c r="E389" s="7">
        <f>INDEX(Sheet2!$D$2:$D$65,$B389+1)</f>
        <v>11</v>
      </c>
      <c r="F389" s="7">
        <f>INDEX(Sheet3!$AY$2:$BN$11,$A389,$E389+1)</f>
        <v>0</v>
      </c>
      <c r="G389" s="7">
        <f>IF($B389&lt;16,_xlfn.BITOR(_xlfn.BITAND($K388,$L388),_xlfn.BITAND(4294967295-$K388,$M388)),IF($B389&lt;32,_xlfn.BITOR(_xlfn.BITAND($M388,$K388),_xlfn.BITAND(4294967295-$M388,$L388)),IF($B389&lt;48,_xlfn.BITXOR(_xlfn.BITXOR($K388,$L388),$M388),_xlfn.BITXOR($L388,_xlfn.BITOR($K388,4294967295-$M388)))))</f>
        <v>655826599</v>
      </c>
      <c r="H389" s="7">
        <f>MOD($G389+$J388+$C389+$F389,4294967296)</f>
        <v>2731104965</v>
      </c>
      <c r="I389" s="7">
        <f>MOD($H389,2^(32-$D389))*2^$D389+INT($H389/2^(32-$D389))</f>
        <v>627775115</v>
      </c>
      <c r="J389" s="7">
        <f>$M388</f>
        <v>3179917604</v>
      </c>
      <c r="K389" s="7">
        <f>MOD($K388+$I389,4294967296)</f>
        <v>1759788596</v>
      </c>
      <c r="L389" s="7">
        <f>$K388</f>
        <v>1132013481</v>
      </c>
      <c r="M389" s="7">
        <f>$L388</f>
        <v>1684566364</v>
      </c>
    </row>
    <row r="390" spans="1:13">
      <c r="A390" s="7">
        <v>6</v>
      </c>
      <c r="B390" s="7">
        <v>62</v>
      </c>
      <c r="C390" s="7">
        <f>INDEX(Sheet2!$B$2:$B$65,$B390+1)</f>
        <v>718787259</v>
      </c>
      <c r="D390" s="7">
        <f>INDEX(Sheet2!$C$2:$C$65,$B390+1)</f>
        <v>15</v>
      </c>
      <c r="E390" s="7">
        <f>INDEX(Sheet2!$D$2:$D$65,$B390+1)</f>
        <v>2</v>
      </c>
      <c r="F390" s="7">
        <f>INDEX(Sheet3!$AY$2:$BN$11,$A390,$E390+1)</f>
        <v>1601792820</v>
      </c>
      <c r="G390" s="7">
        <f>IF($B390&lt;16,_xlfn.BITOR(_xlfn.BITAND($K389,$L389),_xlfn.BITAND(4294967295-$K389,$M389)),IF($B390&lt;32,_xlfn.BITOR(_xlfn.BITAND($M389,$K389),_xlfn.BITAND(4294967295-$M389,$L389)),IF($B390&lt;48,_xlfn.BITXOR(_xlfn.BITXOR($K389,$L389),$M389),_xlfn.BITXOR($L389,_xlfn.BITOR($K389,4294967295-$M389)))))</f>
        <v>3096353054</v>
      </c>
      <c r="H390" s="7">
        <f>MOD($G390+$J389+$C390+$F390,4294967296)</f>
        <v>6916145</v>
      </c>
      <c r="I390" s="7">
        <f>MOD($H390,2^(32-$D390))*2^$D390+INT($H390/2^(32-$D390))</f>
        <v>3289940020</v>
      </c>
      <c r="J390" s="7">
        <f>$M389</f>
        <v>1684566364</v>
      </c>
      <c r="K390" s="7">
        <f>MOD($K389+$I390,4294967296)</f>
        <v>754761320</v>
      </c>
      <c r="L390" s="7">
        <f>$K389</f>
        <v>1759788596</v>
      </c>
      <c r="M390" s="7">
        <f>$L389</f>
        <v>1132013481</v>
      </c>
    </row>
    <row r="391" spans="1:13">
      <c r="A391" s="7">
        <v>6</v>
      </c>
      <c r="B391" s="7">
        <v>63</v>
      </c>
      <c r="C391" s="7">
        <f>INDEX(Sheet2!$B$2:$B$65,$B391+1)</f>
        <v>3951481745</v>
      </c>
      <c r="D391" s="7">
        <f>INDEX(Sheet2!$C$2:$C$65,$B391+1)</f>
        <v>21</v>
      </c>
      <c r="E391" s="7">
        <f>INDEX(Sheet2!$D$2:$D$65,$B391+1)</f>
        <v>9</v>
      </c>
      <c r="F391" s="7">
        <f>INDEX(Sheet3!$AY$2:$BN$11,$A391,$E391+1)</f>
        <v>0</v>
      </c>
      <c r="G391" s="7">
        <f>IF($B391&lt;16,_xlfn.BITOR(_xlfn.BITAND($K390,$L390),_xlfn.BITAND(4294967295-$K390,$M390)),IF($B391&lt;32,_xlfn.BITOR(_xlfn.BITAND($M390,$K390),_xlfn.BITAND(4294967295-$M390,$L390)),IF($B391&lt;48,_xlfn.BITXOR(_xlfn.BITXOR($K390,$L390),$M390),_xlfn.BITXOR($L390,_xlfn.BITOR($K390,4294967295-$M390)))))</f>
        <v>3558522954</v>
      </c>
      <c r="H391" s="7">
        <f>MOD($G391+$J390+$C391+$F391,4294967296)</f>
        <v>604636471</v>
      </c>
      <c r="I391" s="7">
        <f>MOD($H391,2^(32-$D391))*2^$D391+INT($H391/2^(32-$D391))</f>
        <v>2799993152</v>
      </c>
      <c r="J391" s="7">
        <f>$M390</f>
        <v>1132013481</v>
      </c>
      <c r="K391" s="7">
        <f>MOD($K390+$I391,4294967296)</f>
        <v>3554754472</v>
      </c>
      <c r="L391" s="7">
        <f>$K390</f>
        <v>754761320</v>
      </c>
      <c r="M391" s="7">
        <f>$L390</f>
        <v>1759788596</v>
      </c>
    </row>
    <row r="392" spans="1:13">
      <c r="A392" s="8">
        <v>7</v>
      </c>
      <c r="B392" s="8">
        <v>-1</v>
      </c>
      <c r="J392" s="8">
        <v>1732584193</v>
      </c>
      <c r="K392" s="8">
        <v>4023233417</v>
      </c>
      <c r="L392" s="8">
        <v>2562383102</v>
      </c>
      <c r="M392" s="8">
        <v>271733878</v>
      </c>
    </row>
    <row r="393" spans="1:13">
      <c r="A393" s="7">
        <v>7</v>
      </c>
      <c r="B393" s="7">
        <v>0</v>
      </c>
      <c r="C393" s="7">
        <f>INDEX(Sheet2!$B$2:$B$65,$B393+1)</f>
        <v>3614090360</v>
      </c>
      <c r="D393" s="7">
        <f>INDEX(Sheet2!$C$2:$C$65,$B393+1)</f>
        <v>7</v>
      </c>
      <c r="E393" s="7">
        <f>INDEX(Sheet2!$D$2:$D$65,$B393+1)</f>
        <v>0</v>
      </c>
      <c r="F393" s="7">
        <f>INDEX(Sheet3!$AY$2:$BN$11,$A393,$E393+1)</f>
        <v>1701654643</v>
      </c>
      <c r="G393" s="7">
        <f>IF($B393&lt;16,_xlfn.BITOR(_xlfn.BITAND($K392,$L392),_xlfn.BITAND(4294967295-$K392,$M392)),IF($B393&lt;32,_xlfn.BITOR(_xlfn.BITAND($M392,$K392),_xlfn.BITAND(4294967295-$M392,$L392)),IF($B393&lt;48,_xlfn.BITXOR(_xlfn.BITXOR($K392,$L392),$M392),_xlfn.BITXOR($L392,_xlfn.BITOR($K392,4294967295-$M392)))))</f>
        <v>2562383102</v>
      </c>
      <c r="H393" s="7">
        <f>MOD($G393+$J392+$C393+$F393,4294967296)</f>
        <v>1020777706</v>
      </c>
      <c r="I393" s="7">
        <f>MOD($H393,2^(32-$D393))*2^$D393+INT($H393/2^(32-$D393))</f>
        <v>1810527518</v>
      </c>
      <c r="J393" s="7">
        <f>$M392</f>
        <v>271733878</v>
      </c>
      <c r="K393" s="7">
        <f>MOD($K392+$I393,4294967296)</f>
        <v>1538793639</v>
      </c>
      <c r="L393" s="7">
        <f>$K392</f>
        <v>4023233417</v>
      </c>
      <c r="M393" s="7">
        <f>$L392</f>
        <v>2562383102</v>
      </c>
    </row>
    <row r="394" spans="1:13">
      <c r="A394" s="7">
        <v>7</v>
      </c>
      <c r="B394" s="7">
        <v>1</v>
      </c>
      <c r="C394" s="7">
        <f>INDEX(Sheet2!$B$2:$B$65,$B394+1)</f>
        <v>3905402710</v>
      </c>
      <c r="D394" s="7">
        <f>INDEX(Sheet2!$C$2:$C$65,$B394+1)</f>
        <v>12</v>
      </c>
      <c r="E394" s="7">
        <f>INDEX(Sheet2!$D$2:$D$65,$B394+1)</f>
        <v>1</v>
      </c>
      <c r="F394" s="7">
        <f>INDEX(Sheet3!$AY$2:$BN$11,$A394,$E394+1)</f>
        <v>862876511</v>
      </c>
      <c r="G394" s="7">
        <f>IF($B394&lt;16,_xlfn.BITOR(_xlfn.BITAND($K393,$L393),_xlfn.BITAND(4294967295-$K393,$M393)),IF($B394&lt;32,_xlfn.BITOR(_xlfn.BITAND($M393,$K393),_xlfn.BITAND(4294967295-$M393,$L393)),IF($B394&lt;48,_xlfn.BITXOR(_xlfn.BITXOR($K393,$L393),$M393),_xlfn.BITXOR($L393,_xlfn.BITOR($K393,4294967295-$M393)))))</f>
        <v>3414883545</v>
      </c>
      <c r="H394" s="7">
        <f>MOD($G394+$J393+$C394+$F394,4294967296)</f>
        <v>4159929348</v>
      </c>
      <c r="I394" s="7">
        <f>MOD($H394,2^(32-$D394))*2^$D394+INT($H394/2^(32-$D394))</f>
        <v>935350143</v>
      </c>
      <c r="J394" s="7">
        <f>$M393</f>
        <v>2562383102</v>
      </c>
      <c r="K394" s="7">
        <f>MOD($K393+$I394,4294967296)</f>
        <v>2474143782</v>
      </c>
      <c r="L394" s="7">
        <f>$K393</f>
        <v>1538793639</v>
      </c>
      <c r="M394" s="7">
        <f>$L393</f>
        <v>4023233417</v>
      </c>
    </row>
    <row r="395" spans="1:13">
      <c r="A395" s="7">
        <v>7</v>
      </c>
      <c r="B395" s="7">
        <v>2</v>
      </c>
      <c r="C395" s="7">
        <f>INDEX(Sheet2!$B$2:$B$65,$B395+1)</f>
        <v>606105819</v>
      </c>
      <c r="D395" s="7">
        <f>INDEX(Sheet2!$C$2:$C$65,$B395+1)</f>
        <v>17</v>
      </c>
      <c r="E395" s="7">
        <f>INDEX(Sheet2!$D$2:$D$65,$B395+1)</f>
        <v>2</v>
      </c>
      <c r="F395" s="7">
        <f>INDEX(Sheet3!$AY$2:$BN$11,$A395,$E395+1)</f>
        <v>1601792820</v>
      </c>
      <c r="G395" s="7">
        <f>IF($B395&lt;16,_xlfn.BITOR(_xlfn.BITAND($K394,$L394),_xlfn.BITAND(4294967295-$K394,$M394)),IF($B395&lt;32,_xlfn.BITOR(_xlfn.BITAND($M394,$K394),_xlfn.BITAND(4294967295-$M394,$L394)),IF($B395&lt;48,_xlfn.BITXOR(_xlfn.BITXOR($K394,$L394),$M394),_xlfn.BITXOR($L394,_xlfn.BITOR($K394,4294967295-$M394)))))</f>
        <v>2143136687</v>
      </c>
      <c r="H395" s="7">
        <f>MOD($G395+$J394+$C395+$F395,4294967296)</f>
        <v>2618451132</v>
      </c>
      <c r="I395" s="7">
        <f>MOD($H395,2^(32-$D395))*2^$D395+INT($H395/2^(32-$D395))</f>
        <v>3380164644</v>
      </c>
      <c r="J395" s="7">
        <f>$M394</f>
        <v>4023233417</v>
      </c>
      <c r="K395" s="7">
        <f>MOD($K394+$I395,4294967296)</f>
        <v>1559341130</v>
      </c>
      <c r="L395" s="7">
        <f>$K394</f>
        <v>2474143782</v>
      </c>
      <c r="M395" s="7">
        <f>$L394</f>
        <v>1538793639</v>
      </c>
    </row>
    <row r="396" spans="1:13">
      <c r="A396" s="7">
        <v>7</v>
      </c>
      <c r="B396" s="7">
        <v>3</v>
      </c>
      <c r="C396" s="7">
        <f>INDEX(Sheet2!$B$2:$B$65,$B396+1)</f>
        <v>3250441966</v>
      </c>
      <c r="D396" s="7">
        <f>INDEX(Sheet2!$C$2:$C$65,$B396+1)</f>
        <v>22</v>
      </c>
      <c r="E396" s="7">
        <f>INDEX(Sheet2!$D$2:$D$65,$B396+1)</f>
        <v>3</v>
      </c>
      <c r="F396" s="7">
        <f>INDEX(Sheet3!$AY$2:$BN$11,$A396,$E396+1)</f>
        <v>1953248371</v>
      </c>
      <c r="G396" s="7">
        <f>IF($B396&lt;16,_xlfn.BITOR(_xlfn.BITAND($K395,$L395),_xlfn.BITAND(4294967295-$K395,$M395)),IF($B396&lt;32,_xlfn.BITOR(_xlfn.BITAND($M395,$K395),_xlfn.BITAND(4294967295-$M395,$L395)),IF($B396&lt;48,_xlfn.BITXOR(_xlfn.BITXOR($K395,$L395),$M395),_xlfn.BITXOR($L395,_xlfn.BITOR($K395,4294967295-$M395)))))</f>
        <v>326639783</v>
      </c>
      <c r="H396" s="7">
        <f>MOD($G396+$J395+$C396+$F396,4294967296)</f>
        <v>963628945</v>
      </c>
      <c r="I396" s="7">
        <f>MOD($H396,2^(32-$D396))*2^$D396+INT($H396/2^(32-$D396))</f>
        <v>3830340595</v>
      </c>
      <c r="J396" s="7">
        <f>$M395</f>
        <v>1538793639</v>
      </c>
      <c r="K396" s="7">
        <f>MOD($K395+$I396,4294967296)</f>
        <v>1094714429</v>
      </c>
      <c r="L396" s="7">
        <f>$K395</f>
        <v>1559341130</v>
      </c>
      <c r="M396" s="7">
        <f>$L395</f>
        <v>2474143782</v>
      </c>
    </row>
    <row r="397" spans="1:13">
      <c r="A397" s="7">
        <v>7</v>
      </c>
      <c r="B397" s="7">
        <v>4</v>
      </c>
      <c r="C397" s="7">
        <f>INDEX(Sheet2!$B$2:$B$65,$B397+1)</f>
        <v>4118548399</v>
      </c>
      <c r="D397" s="7">
        <f>INDEX(Sheet2!$C$2:$C$65,$B397+1)</f>
        <v>7</v>
      </c>
      <c r="E397" s="7">
        <f>INDEX(Sheet2!$D$2:$D$65,$B397+1)</f>
        <v>4</v>
      </c>
      <c r="F397" s="7">
        <f>INDEX(Sheet3!$AY$2:$BN$11,$A397,$E397+1)</f>
        <v>2151628607</v>
      </c>
      <c r="G397" s="7">
        <f>IF($B397&lt;16,_xlfn.BITOR(_xlfn.BITAND($K396,$L396),_xlfn.BITAND(4294967295-$K396,$M396)),IF($B397&lt;32,_xlfn.BITOR(_xlfn.BITAND($M396,$K396),_xlfn.BITAND(4294967295-$M396,$L396)),IF($B397&lt;48,_xlfn.BITXOR(_xlfn.BITXOR($K396,$L396),$M396),_xlfn.BITXOR($L396,_xlfn.BITOR($K396,4294967295-$M396)))))</f>
        <v>3531108362</v>
      </c>
      <c r="H397" s="7">
        <f>MOD($G397+$J396+$C397+$F397,4294967296)</f>
        <v>2750144415</v>
      </c>
      <c r="I397" s="7">
        <f>MOD($H397,2^(32-$D397))*2^$D397+INT($H397/2^(32-$D397))</f>
        <v>4126134225</v>
      </c>
      <c r="J397" s="7">
        <f>$M396</f>
        <v>2474143782</v>
      </c>
      <c r="K397" s="7">
        <f>MOD($K396+$I397,4294967296)</f>
        <v>925881358</v>
      </c>
      <c r="L397" s="7">
        <f>$K396</f>
        <v>1094714429</v>
      </c>
      <c r="M397" s="7">
        <f>$L396</f>
        <v>1559341130</v>
      </c>
    </row>
    <row r="398" spans="1:13">
      <c r="A398" s="7">
        <v>7</v>
      </c>
      <c r="B398" s="7">
        <v>5</v>
      </c>
      <c r="C398" s="7">
        <f>INDEX(Sheet2!$B$2:$B$65,$B398+1)</f>
        <v>1200080426</v>
      </c>
      <c r="D398" s="7">
        <f>INDEX(Sheet2!$C$2:$C$65,$B398+1)</f>
        <v>12</v>
      </c>
      <c r="E398" s="7">
        <f>INDEX(Sheet2!$D$2:$D$65,$B398+1)</f>
        <v>5</v>
      </c>
      <c r="F398" s="7">
        <f>INDEX(Sheet3!$AY$2:$BN$11,$A398,$E398+1)</f>
        <v>0</v>
      </c>
      <c r="G398" s="7">
        <f>IF($B398&lt;16,_xlfn.BITOR(_xlfn.BITAND($K397,$L397),_xlfn.BITAND(4294967295-$K397,$M397)),IF($B398&lt;32,_xlfn.BITOR(_xlfn.BITAND($M397,$K397),_xlfn.BITAND(4294967295-$M397,$L397)),IF($B398&lt;48,_xlfn.BITXOR(_xlfn.BITXOR($K397,$L397),$M397),_xlfn.BITXOR($L397,_xlfn.BITOR($K397,4294967295-$M397)))))</f>
        <v>1238379596</v>
      </c>
      <c r="H398" s="7">
        <f>MOD($G398+$J397+$C398+$F398,4294967296)</f>
        <v>617636508</v>
      </c>
      <c r="I398" s="7">
        <f>MOD($H398,2^(32-$D398))*2^$D398+INT($H398/2^(32-$D398))</f>
        <v>103400013</v>
      </c>
      <c r="J398" s="7">
        <f>$M397</f>
        <v>1559341130</v>
      </c>
      <c r="K398" s="7">
        <f>MOD($K397+$I398,4294967296)</f>
        <v>1029281371</v>
      </c>
      <c r="L398" s="7">
        <f>$K397</f>
        <v>925881358</v>
      </c>
      <c r="M398" s="7">
        <f>$L397</f>
        <v>1094714429</v>
      </c>
    </row>
    <row r="399" spans="1:13">
      <c r="A399" s="7">
        <v>7</v>
      </c>
      <c r="B399" s="7">
        <v>6</v>
      </c>
      <c r="C399" s="7">
        <f>INDEX(Sheet2!$B$2:$B$65,$B399+1)</f>
        <v>2821735955</v>
      </c>
      <c r="D399" s="7">
        <f>INDEX(Sheet2!$C$2:$C$65,$B399+1)</f>
        <v>17</v>
      </c>
      <c r="E399" s="7">
        <f>INDEX(Sheet2!$D$2:$D$65,$B399+1)</f>
        <v>6</v>
      </c>
      <c r="F399" s="7">
        <f>INDEX(Sheet3!$AY$2:$BN$11,$A399,$E399+1)</f>
        <v>0</v>
      </c>
      <c r="G399" s="7">
        <f>IF($B399&lt;16,_xlfn.BITOR(_xlfn.BITAND($K398,$L398),_xlfn.BITAND(4294967295-$K398,$M398)),IF($B399&lt;32,_xlfn.BITOR(_xlfn.BITAND($M398,$K398),_xlfn.BITAND(4294967295-$M398,$L398)),IF($B399&lt;48,_xlfn.BITXOR(_xlfn.BITXOR($K398,$L398),$M398),_xlfn.BITXOR($L398,_xlfn.BITOR($K398,4294967295-$M398)))))</f>
        <v>1963562030</v>
      </c>
      <c r="H399" s="7">
        <f>MOD($G399+$J398+$C399+$F399,4294967296)</f>
        <v>2049671819</v>
      </c>
      <c r="I399" s="7">
        <f>MOD($H399,2^(32-$D399))*2^$D399+INT($H399/2^(32-$D399))</f>
        <v>85390423</v>
      </c>
      <c r="J399" s="7">
        <f>$M398</f>
        <v>1094714429</v>
      </c>
      <c r="K399" s="7">
        <f>MOD($K398+$I399,4294967296)</f>
        <v>1114671794</v>
      </c>
      <c r="L399" s="7">
        <f>$K398</f>
        <v>1029281371</v>
      </c>
      <c r="M399" s="7">
        <f>$L398</f>
        <v>925881358</v>
      </c>
    </row>
    <row r="400" spans="1:13">
      <c r="A400" s="7">
        <v>7</v>
      </c>
      <c r="B400" s="7">
        <v>7</v>
      </c>
      <c r="C400" s="7">
        <f>INDEX(Sheet2!$B$2:$B$65,$B400+1)</f>
        <v>4249261313</v>
      </c>
      <c r="D400" s="7">
        <f>INDEX(Sheet2!$C$2:$C$65,$B400+1)</f>
        <v>22</v>
      </c>
      <c r="E400" s="7">
        <f>INDEX(Sheet2!$D$2:$D$65,$B400+1)</f>
        <v>7</v>
      </c>
      <c r="F400" s="7">
        <f>INDEX(Sheet3!$AY$2:$BN$11,$A400,$E400+1)</f>
        <v>0</v>
      </c>
      <c r="G400" s="7">
        <f>IF($B400&lt;16,_xlfn.BITOR(_xlfn.BITAND($K399,$L399),_xlfn.BITAND(4294967295-$K399,$M399)),IF($B400&lt;32,_xlfn.BITOR(_xlfn.BITAND($M399,$K399),_xlfn.BITAND(4294967295-$M399,$L399)),IF($B400&lt;48,_xlfn.BITXOR(_xlfn.BITXOR($K399,$L399),$M399),_xlfn.BITXOR($L399,_xlfn.BITOR($K399,4294967295-$M399)))))</f>
        <v>895473182</v>
      </c>
      <c r="H400" s="7">
        <f>MOD($G400+$J399+$C400+$F400,4294967296)</f>
        <v>1944481628</v>
      </c>
      <c r="I400" s="7">
        <f>MOD($H400,2^(32-$D400))*2^$D400+INT($H400/2^(32-$D400))</f>
        <v>3609000347</v>
      </c>
      <c r="J400" s="7">
        <f>$M399</f>
        <v>925881358</v>
      </c>
      <c r="K400" s="7">
        <f>MOD($K399+$I400,4294967296)</f>
        <v>428704845</v>
      </c>
      <c r="L400" s="7">
        <f>$K399</f>
        <v>1114671794</v>
      </c>
      <c r="M400" s="7">
        <f>$L399</f>
        <v>1029281371</v>
      </c>
    </row>
    <row r="401" spans="1:13">
      <c r="A401" s="7">
        <v>7</v>
      </c>
      <c r="B401" s="7">
        <v>8</v>
      </c>
      <c r="C401" s="7">
        <f>INDEX(Sheet2!$B$2:$B$65,$B401+1)</f>
        <v>1770035416</v>
      </c>
      <c r="D401" s="7">
        <f>INDEX(Sheet2!$C$2:$C$65,$B401+1)</f>
        <v>7</v>
      </c>
      <c r="E401" s="7">
        <f>INDEX(Sheet2!$D$2:$D$65,$B401+1)</f>
        <v>8</v>
      </c>
      <c r="F401" s="7">
        <f>INDEX(Sheet3!$AY$2:$BN$11,$A401,$E401+1)</f>
        <v>0</v>
      </c>
      <c r="G401" s="7">
        <f>IF($B401&lt;16,_xlfn.BITOR(_xlfn.BITAND($K400,$L400),_xlfn.BITAND(4294967295-$K400,$M400)),IF($B401&lt;32,_xlfn.BITOR(_xlfn.BITAND($M400,$K400),_xlfn.BITAND(4294967295-$M400,$L400)),IF($B401&lt;48,_xlfn.BITXOR(_xlfn.BITXOR($K400,$L400),$M400),_xlfn.BITXOR($L400,_xlfn.BITOR($K400,4294967295-$M400)))))</f>
        <v>609260050</v>
      </c>
      <c r="H401" s="7">
        <f>MOD($G401+$J400+$C401+$F401,4294967296)</f>
        <v>3305176824</v>
      </c>
      <c r="I401" s="7">
        <f>MOD($H401,2^(32-$D401))*2^$D401+INT($H401/2^(32-$D401))</f>
        <v>2155838562</v>
      </c>
      <c r="J401" s="7">
        <f>$M400</f>
        <v>1029281371</v>
      </c>
      <c r="K401" s="7">
        <f>MOD($K400+$I401,4294967296)</f>
        <v>2584543407</v>
      </c>
      <c r="L401" s="7">
        <f>$K400</f>
        <v>428704845</v>
      </c>
      <c r="M401" s="7">
        <f>$L400</f>
        <v>1114671794</v>
      </c>
    </row>
    <row r="402" spans="1:13">
      <c r="A402" s="7">
        <v>7</v>
      </c>
      <c r="B402" s="7">
        <v>9</v>
      </c>
      <c r="C402" s="7">
        <f>INDEX(Sheet2!$B$2:$B$65,$B402+1)</f>
        <v>2336552879</v>
      </c>
      <c r="D402" s="7">
        <f>INDEX(Sheet2!$C$2:$C$65,$B402+1)</f>
        <v>12</v>
      </c>
      <c r="E402" s="7">
        <f>INDEX(Sheet2!$D$2:$D$65,$B402+1)</f>
        <v>9</v>
      </c>
      <c r="F402" s="7">
        <f>INDEX(Sheet3!$AY$2:$BN$11,$A402,$E402+1)</f>
        <v>0</v>
      </c>
      <c r="G402" s="7">
        <f>IF($B402&lt;16,_xlfn.BITOR(_xlfn.BITAND($K401,$L401),_xlfn.BITAND(4294967295-$K401,$M401)),IF($B402&lt;32,_xlfn.BITOR(_xlfn.BITAND($M401,$K401),_xlfn.BITAND(4294967295-$M401,$L401)),IF($B402&lt;48,_xlfn.BITXOR(_xlfn.BITXOR($K401,$L401),$M401),_xlfn.BITXOR($L401,_xlfn.BITOR($K401,4294967295-$M401)))))</f>
        <v>1484622365</v>
      </c>
      <c r="H402" s="7">
        <f>MOD($G402+$J401+$C402+$F402,4294967296)</f>
        <v>555489319</v>
      </c>
      <c r="I402" s="7">
        <f>MOD($H402,2^(32-$D402))*2^$D402+INT($H402/2^(32-$D402))</f>
        <v>3246551569</v>
      </c>
      <c r="J402" s="7">
        <f>$M401</f>
        <v>1114671794</v>
      </c>
      <c r="K402" s="7">
        <f>MOD($K401+$I402,4294967296)</f>
        <v>1536127680</v>
      </c>
      <c r="L402" s="7">
        <f>$K401</f>
        <v>2584543407</v>
      </c>
      <c r="M402" s="7">
        <f>$L401</f>
        <v>428704845</v>
      </c>
    </row>
    <row r="403" spans="1:13">
      <c r="A403" s="7">
        <v>7</v>
      </c>
      <c r="B403" s="7">
        <v>10</v>
      </c>
      <c r="C403" s="7">
        <f>INDEX(Sheet2!$B$2:$B$65,$B403+1)</f>
        <v>4294925233</v>
      </c>
      <c r="D403" s="7">
        <f>INDEX(Sheet2!$C$2:$C$65,$B403+1)</f>
        <v>17</v>
      </c>
      <c r="E403" s="7">
        <f>INDEX(Sheet2!$D$2:$D$65,$B403+1)</f>
        <v>10</v>
      </c>
      <c r="F403" s="7">
        <f>INDEX(Sheet3!$AY$2:$BN$11,$A403,$E403+1)</f>
        <v>0</v>
      </c>
      <c r="G403" s="7">
        <f>IF($B403&lt;16,_xlfn.BITOR(_xlfn.BITAND($K402,$L402),_xlfn.BITAND(4294967295-$K402,$M402)),IF($B403&lt;32,_xlfn.BITOR(_xlfn.BITAND($M402,$K402),_xlfn.BITAND(4294967295-$M402,$L402)),IF($B403&lt;48,_xlfn.BITXOR(_xlfn.BITXOR($K402,$L402),$M402),_xlfn.BITXOR($L402,_xlfn.BITOR($K402,4294967295-$M402)))))</f>
        <v>437093517</v>
      </c>
      <c r="H403" s="7">
        <f>MOD($G403+$J402+$C403+$F403,4294967296)</f>
        <v>1551723248</v>
      </c>
      <c r="I403" s="7">
        <f>MOD($H403,2^(32-$D403))*2^$D403+INT($H403/2^(32-$D403))</f>
        <v>3588274426</v>
      </c>
      <c r="J403" s="7">
        <f>$M402</f>
        <v>428704845</v>
      </c>
      <c r="K403" s="7">
        <f>MOD($K402+$I403,4294967296)</f>
        <v>829434810</v>
      </c>
      <c r="L403" s="7">
        <f>$K402</f>
        <v>1536127680</v>
      </c>
      <c r="M403" s="7">
        <f>$L402</f>
        <v>2584543407</v>
      </c>
    </row>
    <row r="404" spans="1:13">
      <c r="A404" s="7">
        <v>7</v>
      </c>
      <c r="B404" s="7">
        <v>11</v>
      </c>
      <c r="C404" s="7">
        <f>INDEX(Sheet2!$B$2:$B$65,$B404+1)</f>
        <v>2304563134</v>
      </c>
      <c r="D404" s="7">
        <f>INDEX(Sheet2!$C$2:$C$65,$B404+1)</f>
        <v>22</v>
      </c>
      <c r="E404" s="7">
        <f>INDEX(Sheet2!$D$2:$D$65,$B404+1)</f>
        <v>11</v>
      </c>
      <c r="F404" s="7">
        <f>INDEX(Sheet3!$AY$2:$BN$11,$A404,$E404+1)</f>
        <v>0</v>
      </c>
      <c r="G404" s="7">
        <f>IF($B404&lt;16,_xlfn.BITOR(_xlfn.BITAND($K403,$L403),_xlfn.BITAND(4294967295-$K403,$M403)),IF($B404&lt;32,_xlfn.BITOR(_xlfn.BITAND($M403,$K403),_xlfn.BITAND(4294967295-$M403,$L403)),IF($B404&lt;48,_xlfn.BITXOR(_xlfn.BITXOR($K403,$L403),$M403),_xlfn.BITXOR($L403,_xlfn.BITOR($K403,4294967295-$M403)))))</f>
        <v>2601329285</v>
      </c>
      <c r="H404" s="7">
        <f>MOD($G404+$J403+$C404+$F404,4294967296)</f>
        <v>1039629968</v>
      </c>
      <c r="I404" s="7">
        <f>MOD($H404,2^(32-$D404))*2^$D404+INT($H404/2^(32-$D404))</f>
        <v>2752478687</v>
      </c>
      <c r="J404" s="7">
        <f>$M403</f>
        <v>2584543407</v>
      </c>
      <c r="K404" s="7">
        <f>MOD($K403+$I404,4294967296)</f>
        <v>3581913497</v>
      </c>
      <c r="L404" s="7">
        <f>$K403</f>
        <v>829434810</v>
      </c>
      <c r="M404" s="7">
        <f>$L403</f>
        <v>1536127680</v>
      </c>
    </row>
    <row r="405" spans="1:13">
      <c r="A405" s="7">
        <v>7</v>
      </c>
      <c r="B405" s="7">
        <v>12</v>
      </c>
      <c r="C405" s="7">
        <f>INDEX(Sheet2!$B$2:$B$65,$B405+1)</f>
        <v>1804603682</v>
      </c>
      <c r="D405" s="7">
        <f>INDEX(Sheet2!$C$2:$C$65,$B405+1)</f>
        <v>7</v>
      </c>
      <c r="E405" s="7">
        <f>INDEX(Sheet2!$D$2:$D$65,$B405+1)</f>
        <v>12</v>
      </c>
      <c r="F405" s="7">
        <f>INDEX(Sheet3!$AY$2:$BN$11,$A405,$E405+1)</f>
        <v>0</v>
      </c>
      <c r="G405" s="7">
        <f>IF($B405&lt;16,_xlfn.BITOR(_xlfn.BITAND($K404,$L404),_xlfn.BITAND(4294967295-$K404,$M404)),IF($B405&lt;32,_xlfn.BITOR(_xlfn.BITAND($M404,$K404),_xlfn.BITAND(4294967295-$M404,$L404)),IF($B405&lt;48,_xlfn.BITXOR(_xlfn.BITXOR($K404,$L404),$M404),_xlfn.BITXOR($L404,_xlfn.BITOR($K404,4294967295-$M404)))))</f>
        <v>468745176</v>
      </c>
      <c r="H405" s="7">
        <f>MOD($G405+$J404+$C405+$F405,4294967296)</f>
        <v>562924969</v>
      </c>
      <c r="I405" s="7">
        <f>MOD($H405,2^(32-$D405))*2^$D405+INT($H405/2^(32-$D405))</f>
        <v>3334919312</v>
      </c>
      <c r="J405" s="7">
        <f>$M404</f>
        <v>1536127680</v>
      </c>
      <c r="K405" s="7">
        <f>MOD($K404+$I405,4294967296)</f>
        <v>2621865513</v>
      </c>
      <c r="L405" s="7">
        <f>$K404</f>
        <v>3581913497</v>
      </c>
      <c r="M405" s="7">
        <f>$L404</f>
        <v>829434810</v>
      </c>
    </row>
    <row r="406" spans="1:13">
      <c r="A406" s="7">
        <v>7</v>
      </c>
      <c r="B406" s="7">
        <v>13</v>
      </c>
      <c r="C406" s="7">
        <f>INDEX(Sheet2!$B$2:$B$65,$B406+1)</f>
        <v>4254626195</v>
      </c>
      <c r="D406" s="7">
        <f>INDEX(Sheet2!$C$2:$C$65,$B406+1)</f>
        <v>12</v>
      </c>
      <c r="E406" s="7">
        <f>INDEX(Sheet2!$D$2:$D$65,$B406+1)</f>
        <v>13</v>
      </c>
      <c r="F406" s="7">
        <f>INDEX(Sheet3!$AY$2:$BN$11,$A406,$E406+1)</f>
        <v>0</v>
      </c>
      <c r="G406" s="7">
        <f>IF($B406&lt;16,_xlfn.BITOR(_xlfn.BITAND($K405,$L405),_xlfn.BITAND(4294967295-$K405,$M405)),IF($B406&lt;32,_xlfn.BITOR(_xlfn.BITAND($M405,$K405),_xlfn.BITAND(4294967295-$M405,$L405)),IF($B406&lt;48,_xlfn.BITXOR(_xlfn.BITXOR($K405,$L405),$M405),_xlfn.BITXOR($L405,_xlfn.BITOR($K405,4294967295-$M405)))))</f>
        <v>3044419995</v>
      </c>
      <c r="H406" s="7">
        <f>MOD($G406+$J405+$C406+$F406,4294967296)</f>
        <v>245239278</v>
      </c>
      <c r="I406" s="7">
        <f>MOD($H406,2^(32-$D406))*2^$D406+INT($H406/2^(32-$D406))</f>
        <v>3772702953</v>
      </c>
      <c r="J406" s="7">
        <f>$M405</f>
        <v>829434810</v>
      </c>
      <c r="K406" s="7">
        <f>MOD($K405+$I406,4294967296)</f>
        <v>2099601170</v>
      </c>
      <c r="L406" s="7">
        <f>$K405</f>
        <v>2621865513</v>
      </c>
      <c r="M406" s="7">
        <f>$L405</f>
        <v>3581913497</v>
      </c>
    </row>
    <row r="407" spans="1:13">
      <c r="A407" s="7">
        <v>7</v>
      </c>
      <c r="B407" s="7">
        <v>14</v>
      </c>
      <c r="C407" s="7">
        <f>INDEX(Sheet2!$B$2:$B$65,$B407+1)</f>
        <v>2792965006</v>
      </c>
      <c r="D407" s="7">
        <f>INDEX(Sheet2!$C$2:$C$65,$B407+1)</f>
        <v>17</v>
      </c>
      <c r="E407" s="7">
        <f>INDEX(Sheet2!$D$2:$D$65,$B407+1)</f>
        <v>14</v>
      </c>
      <c r="F407" s="7">
        <f>INDEX(Sheet3!$AY$2:$BN$11,$A407,$E407+1)</f>
        <v>152</v>
      </c>
      <c r="G407" s="7">
        <f>IF($B407&lt;16,_xlfn.BITOR(_xlfn.BITAND($K406,$L406),_xlfn.BITAND(4294967295-$K406,$M406)),IF($B407&lt;32,_xlfn.BITOR(_xlfn.BITAND($M406,$K406),_xlfn.BITAND(4294967295-$M406,$L406)),IF($B407&lt;48,_xlfn.BITXOR(_xlfn.BITXOR($K406,$L406),$M406),_xlfn.BITXOR($L406,_xlfn.BITOR($K406,4294967295-$M406)))))</f>
        <v>2623471241</v>
      </c>
      <c r="H407" s="7">
        <f>MOD($G407+$J406+$C407+$F407,4294967296)</f>
        <v>1950903913</v>
      </c>
      <c r="I407" s="7">
        <f>MOD($H407,2^(32-$D407))*2^$D407+INT($H407/2^(32-$D407))</f>
        <v>3704809616</v>
      </c>
      <c r="J407" s="7">
        <f>$M406</f>
        <v>3581913497</v>
      </c>
      <c r="K407" s="7">
        <f>MOD($K406+$I407,4294967296)</f>
        <v>1509443490</v>
      </c>
      <c r="L407" s="7">
        <f>$K406</f>
        <v>2099601170</v>
      </c>
      <c r="M407" s="7">
        <f>$L406</f>
        <v>2621865513</v>
      </c>
    </row>
    <row r="408" spans="1:13">
      <c r="A408" s="7">
        <v>7</v>
      </c>
      <c r="B408" s="7">
        <v>15</v>
      </c>
      <c r="C408" s="7">
        <f>INDEX(Sheet2!$B$2:$B$65,$B408+1)</f>
        <v>1236535329</v>
      </c>
      <c r="D408" s="7">
        <f>INDEX(Sheet2!$C$2:$C$65,$B408+1)</f>
        <v>22</v>
      </c>
      <c r="E408" s="7">
        <f>INDEX(Sheet2!$D$2:$D$65,$B408+1)</f>
        <v>15</v>
      </c>
      <c r="F408" s="7">
        <f>INDEX(Sheet3!$AY$2:$BN$11,$A408,$E408+1)</f>
        <v>0</v>
      </c>
      <c r="G408" s="7">
        <f>IF($B408&lt;16,_xlfn.BITOR(_xlfn.BITAND($K407,$L407),_xlfn.BITAND(4294967295-$K407,$M407)),IF($B408&lt;32,_xlfn.BITOR(_xlfn.BITAND($M407,$K407),_xlfn.BITAND(4294967295-$M407,$L407)),IF($B408&lt;48,_xlfn.BITXOR(_xlfn.BITXOR($K407,$L407),$M407),_xlfn.BITXOR($L407,_xlfn.BITOR($K407,4294967295-$M407)))))</f>
        <v>3710287627</v>
      </c>
      <c r="H408" s="7">
        <f>MOD($G408+$J407+$C408+$F408,4294967296)</f>
        <v>4233769157</v>
      </c>
      <c r="I408" s="7">
        <f>MOD($H408,2^(32-$D408))*2^$D408+INT($H408/2^(32-$D408))</f>
        <v>830412428</v>
      </c>
      <c r="J408" s="7">
        <f>$M407</f>
        <v>2621865513</v>
      </c>
      <c r="K408" s="7">
        <f>MOD($K407+$I408,4294967296)</f>
        <v>2339855918</v>
      </c>
      <c r="L408" s="7">
        <f>$K407</f>
        <v>1509443490</v>
      </c>
      <c r="M408" s="7">
        <f>$L407</f>
        <v>2099601170</v>
      </c>
    </row>
    <row r="409" spans="1:13">
      <c r="A409" s="7">
        <v>7</v>
      </c>
      <c r="B409" s="7">
        <v>16</v>
      </c>
      <c r="C409" s="7">
        <f>INDEX(Sheet2!$B$2:$B$65,$B409+1)</f>
        <v>4129170786</v>
      </c>
      <c r="D409" s="7">
        <f>INDEX(Sheet2!$C$2:$C$65,$B409+1)</f>
        <v>5</v>
      </c>
      <c r="E409" s="7">
        <f>INDEX(Sheet2!$D$2:$D$65,$B409+1)</f>
        <v>1</v>
      </c>
      <c r="F409" s="7">
        <f>INDEX(Sheet3!$AY$2:$BN$11,$A409,$E409+1)</f>
        <v>862876511</v>
      </c>
      <c r="G409" s="7">
        <f>IF($B409&lt;16,_xlfn.BITOR(_xlfn.BITAND($K408,$L408),_xlfn.BITAND(4294967295-$K408,$M408)),IF($B409&lt;32,_xlfn.BITOR(_xlfn.BITAND($M408,$K408),_xlfn.BITAND(4294967295-$M408,$L408)),IF($B409&lt;48,_xlfn.BITXOR(_xlfn.BITXOR($K408,$L408),$M408),_xlfn.BITXOR($L408,_xlfn.BITOR($K408,4294967295-$M408)))))</f>
        <v>167599778</v>
      </c>
      <c r="H409" s="7">
        <f>MOD($G409+$J408+$C409+$F409,4294967296)</f>
        <v>3486545292</v>
      </c>
      <c r="I409" s="7">
        <f>MOD($H409,2^(32-$D409))*2^$D409+INT($H409/2^(32-$D409))</f>
        <v>4195266969</v>
      </c>
      <c r="J409" s="7">
        <f>$M408</f>
        <v>2099601170</v>
      </c>
      <c r="K409" s="7">
        <f>MOD($K408+$I409,4294967296)</f>
        <v>2240155591</v>
      </c>
      <c r="L409" s="7">
        <f>$K408</f>
        <v>2339855918</v>
      </c>
      <c r="M409" s="7">
        <f>$L408</f>
        <v>1509443490</v>
      </c>
    </row>
    <row r="410" spans="1:13">
      <c r="A410" s="7">
        <v>7</v>
      </c>
      <c r="B410" s="7">
        <v>17</v>
      </c>
      <c r="C410" s="7">
        <f>INDEX(Sheet2!$B$2:$B$65,$B410+1)</f>
        <v>3225465664</v>
      </c>
      <c r="D410" s="7">
        <f>INDEX(Sheet2!$C$2:$C$65,$B410+1)</f>
        <v>9</v>
      </c>
      <c r="E410" s="7">
        <f>INDEX(Sheet2!$D$2:$D$65,$B410+1)</f>
        <v>6</v>
      </c>
      <c r="F410" s="7">
        <f>INDEX(Sheet3!$AY$2:$BN$11,$A410,$E410+1)</f>
        <v>0</v>
      </c>
      <c r="G410" s="7">
        <f>IF($B410&lt;16,_xlfn.BITOR(_xlfn.BITAND($K409,$L409),_xlfn.BITAND(4294967295-$K409,$M409)),IF($B410&lt;32,_xlfn.BITOR(_xlfn.BITAND($M409,$K409),_xlfn.BITAND(4294967295-$M409,$L409)),IF($B410&lt;48,_xlfn.BITXOR(_xlfn.BITXOR($K409,$L409),$M409),_xlfn.BITXOR($L409,_xlfn.BITOR($K409,4294967295-$M409)))))</f>
        <v>2206670734</v>
      </c>
      <c r="H410" s="7">
        <f>MOD($G410+$J409+$C410+$F410,4294967296)</f>
        <v>3236770272</v>
      </c>
      <c r="I410" s="7">
        <f>MOD($H410,2^(32-$D410))*2^$D410+INT($H410/2^(32-$D410))</f>
        <v>3663970689</v>
      </c>
      <c r="J410" s="7">
        <f>$M409</f>
        <v>1509443490</v>
      </c>
      <c r="K410" s="7">
        <f>MOD($K409+$I410,4294967296)</f>
        <v>1609158984</v>
      </c>
      <c r="L410" s="7">
        <f>$K409</f>
        <v>2240155591</v>
      </c>
      <c r="M410" s="7">
        <f>$L409</f>
        <v>2339855918</v>
      </c>
    </row>
    <row r="411" spans="1:13">
      <c r="A411" s="7">
        <v>7</v>
      </c>
      <c r="B411" s="7">
        <v>18</v>
      </c>
      <c r="C411" s="7">
        <f>INDEX(Sheet2!$B$2:$B$65,$B411+1)</f>
        <v>643717713</v>
      </c>
      <c r="D411" s="7">
        <f>INDEX(Sheet2!$C$2:$C$65,$B411+1)</f>
        <v>14</v>
      </c>
      <c r="E411" s="7">
        <f>INDEX(Sheet2!$D$2:$D$65,$B411+1)</f>
        <v>11</v>
      </c>
      <c r="F411" s="7">
        <f>INDEX(Sheet3!$AY$2:$BN$11,$A411,$E411+1)</f>
        <v>0</v>
      </c>
      <c r="G411" s="7">
        <f>IF($B411&lt;16,_xlfn.BITOR(_xlfn.BITAND($K410,$L410),_xlfn.BITAND(4294967295-$K410,$M410)),IF($B411&lt;32,_xlfn.BITOR(_xlfn.BITAND($M410,$K410),_xlfn.BITAND(4294967295-$M410,$L410)),IF($B411&lt;48,_xlfn.BITXOR(_xlfn.BITXOR($K410,$L410),$M410),_xlfn.BITXOR($L410,_xlfn.BITOR($K410,4294967295-$M410)))))</f>
        <v>266424777</v>
      </c>
      <c r="H411" s="7">
        <f>MOD($G411+$J410+$C411+$F411,4294967296)</f>
        <v>2419585980</v>
      </c>
      <c r="I411" s="7">
        <f>MOD($H411,2^(32-$D411))*2^$D411+INT($H411/2^(32-$D411))</f>
        <v>4243530765</v>
      </c>
      <c r="J411" s="7">
        <f>$M410</f>
        <v>2339855918</v>
      </c>
      <c r="K411" s="7">
        <f>MOD($K410+$I411,4294967296)</f>
        <v>1557722453</v>
      </c>
      <c r="L411" s="7">
        <f>$K410</f>
        <v>1609158984</v>
      </c>
      <c r="M411" s="7">
        <f>$L410</f>
        <v>2240155591</v>
      </c>
    </row>
    <row r="412" spans="1:13">
      <c r="A412" s="7">
        <v>7</v>
      </c>
      <c r="B412" s="7">
        <v>19</v>
      </c>
      <c r="C412" s="7">
        <f>INDEX(Sheet2!$B$2:$B$65,$B412+1)</f>
        <v>3921069994</v>
      </c>
      <c r="D412" s="7">
        <f>INDEX(Sheet2!$C$2:$C$65,$B412+1)</f>
        <v>20</v>
      </c>
      <c r="E412" s="7">
        <f>INDEX(Sheet2!$D$2:$D$65,$B412+1)</f>
        <v>0</v>
      </c>
      <c r="F412" s="7">
        <f>INDEX(Sheet3!$AY$2:$BN$11,$A412,$E412+1)</f>
        <v>1701654643</v>
      </c>
      <c r="G412" s="7">
        <f>IF($B412&lt;16,_xlfn.BITOR(_xlfn.BITAND($K411,$L411),_xlfn.BITAND(4294967295-$K411,$M411)),IF($B412&lt;32,_xlfn.BITOR(_xlfn.BITAND($M411,$K411),_xlfn.BITAND(4294967295-$M411,$L411)),IF($B412&lt;48,_xlfn.BITXOR(_xlfn.BITXOR($K411,$L411),$M411),_xlfn.BITXOR($L411,_xlfn.BITOR($K411,4294967295-$M411)))))</f>
        <v>1592382797</v>
      </c>
      <c r="H412" s="7">
        <f>MOD($G412+$J411+$C412+$F412,4294967296)</f>
        <v>965028760</v>
      </c>
      <c r="I412" s="7">
        <f>MOD($H412,2^(32-$D412))*2^$D412+INT($H412/2^(32-$D412))</f>
        <v>3112409170</v>
      </c>
      <c r="J412" s="7">
        <f>$M411</f>
        <v>2240155591</v>
      </c>
      <c r="K412" s="7">
        <f>MOD($K411+$I412,4294967296)</f>
        <v>375164327</v>
      </c>
      <c r="L412" s="7">
        <f>$K411</f>
        <v>1557722453</v>
      </c>
      <c r="M412" s="7">
        <f>$L411</f>
        <v>1609158984</v>
      </c>
    </row>
    <row r="413" spans="1:13">
      <c r="A413" s="7">
        <v>7</v>
      </c>
      <c r="B413" s="7">
        <v>20</v>
      </c>
      <c r="C413" s="7">
        <f>INDEX(Sheet2!$B$2:$B$65,$B413+1)</f>
        <v>3593408605</v>
      </c>
      <c r="D413" s="7">
        <f>INDEX(Sheet2!$C$2:$C$65,$B413+1)</f>
        <v>5</v>
      </c>
      <c r="E413" s="7">
        <f>INDEX(Sheet2!$D$2:$D$65,$B413+1)</f>
        <v>5</v>
      </c>
      <c r="F413" s="7">
        <f>INDEX(Sheet3!$AY$2:$BN$11,$A413,$E413+1)</f>
        <v>0</v>
      </c>
      <c r="G413" s="7">
        <f>IF($B413&lt;16,_xlfn.BITOR(_xlfn.BITAND($K412,$L412),_xlfn.BITAND(4294967295-$K412,$M412)),IF($B413&lt;32,_xlfn.BITOR(_xlfn.BITAND($M412,$K412),_xlfn.BITAND(4294967295-$M412,$L412)),IF($B413&lt;48,_xlfn.BITXOR(_xlfn.BITXOR($K412,$L412),$M412),_xlfn.BITXOR($L412,_xlfn.BITOR($K412,4294967295-$M412)))))</f>
        <v>374908181</v>
      </c>
      <c r="H413" s="7">
        <f>MOD($G413+$J412+$C413+$F413,4294967296)</f>
        <v>1913505081</v>
      </c>
      <c r="I413" s="7">
        <f>MOD($H413,2^(32-$D413))*2^$D413+INT($H413/2^(32-$D413))</f>
        <v>1102620462</v>
      </c>
      <c r="J413" s="7">
        <f>$M412</f>
        <v>1609158984</v>
      </c>
      <c r="K413" s="7">
        <f>MOD($K412+$I413,4294967296)</f>
        <v>1477784789</v>
      </c>
      <c r="L413" s="7">
        <f>$K412</f>
        <v>375164327</v>
      </c>
      <c r="M413" s="7">
        <f>$L412</f>
        <v>1557722453</v>
      </c>
    </row>
    <row r="414" spans="1:13">
      <c r="A414" s="7">
        <v>7</v>
      </c>
      <c r="B414" s="7">
        <v>21</v>
      </c>
      <c r="C414" s="7">
        <f>INDEX(Sheet2!$B$2:$B$65,$B414+1)</f>
        <v>38016083</v>
      </c>
      <c r="D414" s="7">
        <f>INDEX(Sheet2!$C$2:$C$65,$B414+1)</f>
        <v>9</v>
      </c>
      <c r="E414" s="7">
        <f>INDEX(Sheet2!$D$2:$D$65,$B414+1)</f>
        <v>10</v>
      </c>
      <c r="F414" s="7">
        <f>INDEX(Sheet3!$AY$2:$BN$11,$A414,$E414+1)</f>
        <v>0</v>
      </c>
      <c r="G414" s="7">
        <f>IF($B414&lt;16,_xlfn.BITOR(_xlfn.BITAND($K413,$L413),_xlfn.BITAND(4294967295-$K413,$M413)),IF($B414&lt;32,_xlfn.BITOR(_xlfn.BITAND($M413,$K413),_xlfn.BITAND(4294967295-$M413,$L413)),IF($B414&lt;48,_xlfn.BITXOR(_xlfn.BITXOR($K413,$L413),$M413),_xlfn.BITXOR($L413,_xlfn.BITOR($K413,4294967295-$M413)))))</f>
        <v>1511275767</v>
      </c>
      <c r="H414" s="7">
        <f>MOD($G414+$J413+$C414+$F414,4294967296)</f>
        <v>3158450834</v>
      </c>
      <c r="I414" s="7">
        <f>MOD($H414,2^(32-$D414))*2^$D414+INT($H414/2^(32-$D414))</f>
        <v>2219124088</v>
      </c>
      <c r="J414" s="7">
        <f>$M413</f>
        <v>1557722453</v>
      </c>
      <c r="K414" s="7">
        <f>MOD($K413+$I414,4294967296)</f>
        <v>3696908877</v>
      </c>
      <c r="L414" s="7">
        <f>$K413</f>
        <v>1477784789</v>
      </c>
      <c r="M414" s="7">
        <f>$L413</f>
        <v>375164327</v>
      </c>
    </row>
    <row r="415" spans="1:13">
      <c r="A415" s="7">
        <v>7</v>
      </c>
      <c r="B415" s="7">
        <v>22</v>
      </c>
      <c r="C415" s="7">
        <f>INDEX(Sheet2!$B$2:$B$65,$B415+1)</f>
        <v>3634488961</v>
      </c>
      <c r="D415" s="7">
        <f>INDEX(Sheet2!$C$2:$C$65,$B415+1)</f>
        <v>14</v>
      </c>
      <c r="E415" s="7">
        <f>INDEX(Sheet2!$D$2:$D$65,$B415+1)</f>
        <v>15</v>
      </c>
      <c r="F415" s="7">
        <f>INDEX(Sheet3!$AY$2:$BN$11,$A415,$E415+1)</f>
        <v>0</v>
      </c>
      <c r="G415" s="7">
        <f>IF($B415&lt;16,_xlfn.BITOR(_xlfn.BITAND($K414,$L414),_xlfn.BITAND(4294967295-$K414,$M414)),IF($B415&lt;32,_xlfn.BITOR(_xlfn.BITAND($M414,$K414),_xlfn.BITAND(4294967295-$M414,$L414)),IF($B415&lt;48,_xlfn.BITXOR(_xlfn.BITXOR($K414,$L414),$M414),_xlfn.BITXOR($L414,_xlfn.BITOR($K414,4294967295-$M414)))))</f>
        <v>1549350997</v>
      </c>
      <c r="H415" s="7">
        <f>MOD($G415+$J414+$C415+$F415,4294967296)</f>
        <v>2446595115</v>
      </c>
      <c r="I415" s="7">
        <f>MOD($H415,2^(32-$D415))*2^$D415+INT($H415/2^(32-$D415))</f>
        <v>84599925</v>
      </c>
      <c r="J415" s="7">
        <f>$M414</f>
        <v>375164327</v>
      </c>
      <c r="K415" s="7">
        <f>MOD($K414+$I415,4294967296)</f>
        <v>3781508802</v>
      </c>
      <c r="L415" s="7">
        <f>$K414</f>
        <v>3696908877</v>
      </c>
      <c r="M415" s="7">
        <f>$L414</f>
        <v>1477784789</v>
      </c>
    </row>
    <row r="416" spans="1:13">
      <c r="A416" s="7">
        <v>7</v>
      </c>
      <c r="B416" s="7">
        <v>23</v>
      </c>
      <c r="C416" s="7">
        <f>INDEX(Sheet2!$B$2:$B$65,$B416+1)</f>
        <v>3889429448</v>
      </c>
      <c r="D416" s="7">
        <f>INDEX(Sheet2!$C$2:$C$65,$B416+1)</f>
        <v>20</v>
      </c>
      <c r="E416" s="7">
        <f>INDEX(Sheet2!$D$2:$D$65,$B416+1)</f>
        <v>4</v>
      </c>
      <c r="F416" s="7">
        <f>INDEX(Sheet3!$AY$2:$BN$11,$A416,$E416+1)</f>
        <v>2151628607</v>
      </c>
      <c r="G416" s="7">
        <f>IF($B416&lt;16,_xlfn.BITOR(_xlfn.BITAND($K415,$L415),_xlfn.BITAND(4294967295-$K415,$M415)),IF($B416&lt;32,_xlfn.BITOR(_xlfn.BITAND($M415,$K415),_xlfn.BITAND(4294967295-$M415,$L415)),IF($B416&lt;48,_xlfn.BITXOR(_xlfn.BITXOR($K415,$L415),$M415),_xlfn.BITXOR($L415,_xlfn.BITOR($K415,4294967295-$M415)))))</f>
        <v>3293544136</v>
      </c>
      <c r="H416" s="7">
        <f>MOD($G416+$J415+$C416+$F416,4294967296)</f>
        <v>1119831926</v>
      </c>
      <c r="I416" s="7">
        <f>MOD($H416,2^(32-$D416))*2^$D416+INT($H416/2^(32-$D416))</f>
        <v>2003053556</v>
      </c>
      <c r="J416" s="7">
        <f>$M415</f>
        <v>1477784789</v>
      </c>
      <c r="K416" s="7">
        <f>MOD($K415+$I416,4294967296)</f>
        <v>1489595062</v>
      </c>
      <c r="L416" s="7">
        <f>$K415</f>
        <v>3781508802</v>
      </c>
      <c r="M416" s="7">
        <f>$L415</f>
        <v>3696908877</v>
      </c>
    </row>
    <row r="417" spans="1:13">
      <c r="A417" s="7">
        <v>7</v>
      </c>
      <c r="B417" s="7">
        <v>24</v>
      </c>
      <c r="C417" s="7">
        <f>INDEX(Sheet2!$B$2:$B$65,$B417+1)</f>
        <v>568446438</v>
      </c>
      <c r="D417" s="7">
        <f>INDEX(Sheet2!$C$2:$C$65,$B417+1)</f>
        <v>5</v>
      </c>
      <c r="E417" s="7">
        <f>INDEX(Sheet2!$D$2:$D$65,$B417+1)</f>
        <v>9</v>
      </c>
      <c r="F417" s="7">
        <f>INDEX(Sheet3!$AY$2:$BN$11,$A417,$E417+1)</f>
        <v>0</v>
      </c>
      <c r="G417" s="7">
        <f>IF($B417&lt;16,_xlfn.BITOR(_xlfn.BITAND($K416,$L416),_xlfn.BITAND(4294967295-$K416,$M416)),IF($B417&lt;32,_xlfn.BITOR(_xlfn.BITAND($M416,$K416),_xlfn.BITAND(4294967295-$M416,$L416)),IF($B417&lt;48,_xlfn.BITXOR(_xlfn.BITXOR($K416,$L416),$M416),_xlfn.BITXOR($L416,_xlfn.BITOR($K416,4294967295-$M416)))))</f>
        <v>2037214854</v>
      </c>
      <c r="H417" s="7">
        <f>MOD($G417+$J416+$C417+$F417,4294967296)</f>
        <v>4083446081</v>
      </c>
      <c r="I417" s="7">
        <f>MOD($H417,2^(32-$D417))*2^$D417+INT($H417/2^(32-$D417))</f>
        <v>1821255742</v>
      </c>
      <c r="J417" s="7">
        <f>$M416</f>
        <v>3696908877</v>
      </c>
      <c r="K417" s="7">
        <f>MOD($K416+$I417,4294967296)</f>
        <v>3310850804</v>
      </c>
      <c r="L417" s="7">
        <f>$K416</f>
        <v>1489595062</v>
      </c>
      <c r="M417" s="7">
        <f>$L416</f>
        <v>3781508802</v>
      </c>
    </row>
    <row r="418" spans="1:13">
      <c r="A418" s="7">
        <v>7</v>
      </c>
      <c r="B418" s="7">
        <v>25</v>
      </c>
      <c r="C418" s="7">
        <f>INDEX(Sheet2!$B$2:$B$65,$B418+1)</f>
        <v>3275163606</v>
      </c>
      <c r="D418" s="7">
        <f>INDEX(Sheet2!$C$2:$C$65,$B418+1)</f>
        <v>9</v>
      </c>
      <c r="E418" s="7">
        <f>INDEX(Sheet2!$D$2:$D$65,$B418+1)</f>
        <v>14</v>
      </c>
      <c r="F418" s="7">
        <f>INDEX(Sheet3!$AY$2:$BN$11,$A418,$E418+1)</f>
        <v>152</v>
      </c>
      <c r="G418" s="7">
        <f>IF($B418&lt;16,_xlfn.BITOR(_xlfn.BITAND($K417,$L417),_xlfn.BITAND(4294967295-$K417,$M417)),IF($B418&lt;32,_xlfn.BITOR(_xlfn.BITAND($M417,$K417),_xlfn.BITAND(4294967295-$M417,$L417)),IF($B418&lt;48,_xlfn.BITXOR(_xlfn.BITXOR($K417,$L417),$M417),_xlfn.BITXOR($L417,_xlfn.BITOR($K417,4294967295-$M417)))))</f>
        <v>3654111988</v>
      </c>
      <c r="H418" s="7">
        <f>MOD($G418+$J417+$C418+$F418,4294967296)</f>
        <v>2036250031</v>
      </c>
      <c r="I418" s="7">
        <f>MOD($H418,2^(32-$D418))*2^$D418+INT($H418/2^(32-$D418))</f>
        <v>3177930482</v>
      </c>
      <c r="J418" s="7">
        <f>$M417</f>
        <v>3781508802</v>
      </c>
      <c r="K418" s="7">
        <f>MOD($K417+$I418,4294967296)</f>
        <v>2193813990</v>
      </c>
      <c r="L418" s="7">
        <f>$K417</f>
        <v>3310850804</v>
      </c>
      <c r="M418" s="7">
        <f>$L417</f>
        <v>1489595062</v>
      </c>
    </row>
    <row r="419" spans="1:13">
      <c r="A419" s="7">
        <v>7</v>
      </c>
      <c r="B419" s="7">
        <v>26</v>
      </c>
      <c r="C419" s="7">
        <f>INDEX(Sheet2!$B$2:$B$65,$B419+1)</f>
        <v>4107603335</v>
      </c>
      <c r="D419" s="7">
        <f>INDEX(Sheet2!$C$2:$C$65,$B419+1)</f>
        <v>14</v>
      </c>
      <c r="E419" s="7">
        <f>INDEX(Sheet2!$D$2:$D$65,$B419+1)</f>
        <v>3</v>
      </c>
      <c r="F419" s="7">
        <f>INDEX(Sheet3!$AY$2:$BN$11,$A419,$E419+1)</f>
        <v>1953248371</v>
      </c>
      <c r="G419" s="7">
        <f>IF($B419&lt;16,_xlfn.BITOR(_xlfn.BITAND($K418,$L418),_xlfn.BITAND(4294967295-$K418,$M418)),IF($B419&lt;32,_xlfn.BITOR(_xlfn.BITAND($M418,$K418),_xlfn.BITAND(4294967295-$M418,$L418)),IF($B419&lt;48,_xlfn.BITXOR(_xlfn.BITXOR($K418,$L418),$M418),_xlfn.BITXOR($L418,_xlfn.BITOR($K418,4294967295-$M418)))))</f>
        <v>2245456102</v>
      </c>
      <c r="H419" s="7">
        <f>MOD($G419+$J418+$C419+$F419,4294967296)</f>
        <v>3497882018</v>
      </c>
      <c r="I419" s="7">
        <f>MOD($H419,2^(32-$D419))*2^$D419+INT($H419/2^(32-$D419))</f>
        <v>1550365727</v>
      </c>
      <c r="J419" s="7">
        <f>$M418</f>
        <v>1489595062</v>
      </c>
      <c r="K419" s="7">
        <f>MOD($K418+$I419,4294967296)</f>
        <v>3744179717</v>
      </c>
      <c r="L419" s="7">
        <f>$K418</f>
        <v>2193813990</v>
      </c>
      <c r="M419" s="7">
        <f>$L418</f>
        <v>3310850804</v>
      </c>
    </row>
    <row r="420" spans="1:13">
      <c r="A420" s="7">
        <v>7</v>
      </c>
      <c r="B420" s="7">
        <v>27</v>
      </c>
      <c r="C420" s="7">
        <f>INDEX(Sheet2!$B$2:$B$65,$B420+1)</f>
        <v>1163531501</v>
      </c>
      <c r="D420" s="7">
        <f>INDEX(Sheet2!$C$2:$C$65,$B420+1)</f>
        <v>20</v>
      </c>
      <c r="E420" s="7">
        <f>INDEX(Sheet2!$D$2:$D$65,$B420+1)</f>
        <v>8</v>
      </c>
      <c r="F420" s="7">
        <f>INDEX(Sheet3!$AY$2:$BN$11,$A420,$E420+1)</f>
        <v>0</v>
      </c>
      <c r="G420" s="7">
        <f>IF($B420&lt;16,_xlfn.BITOR(_xlfn.BITAND($K419,$L419),_xlfn.BITAND(4294967295-$K419,$M419)),IF($B420&lt;32,_xlfn.BITOR(_xlfn.BITAND($M419,$K419),_xlfn.BITAND(4294967295-$M419,$L419)),IF($B420&lt;48,_xlfn.BITXOR(_xlfn.BITXOR($K419,$L419),$M419),_xlfn.BITXOR($L419,_xlfn.BITOR($K419,4294967295-$M419)))))</f>
        <v>3347309318</v>
      </c>
      <c r="H420" s="7">
        <f>MOD($G420+$J419+$C420+$F420,4294967296)</f>
        <v>1705468585</v>
      </c>
      <c r="I420" s="7">
        <f>MOD($H420,2^(32-$D420))*2^$D420+INT($H420/2^(32-$D420))</f>
        <v>714496630</v>
      </c>
      <c r="J420" s="7">
        <f>$M419</f>
        <v>3310850804</v>
      </c>
      <c r="K420" s="7">
        <f>MOD($K419+$I420,4294967296)</f>
        <v>163709051</v>
      </c>
      <c r="L420" s="7">
        <f>$K419</f>
        <v>3744179717</v>
      </c>
      <c r="M420" s="7">
        <f>$L419</f>
        <v>2193813990</v>
      </c>
    </row>
    <row r="421" spans="1:13">
      <c r="A421" s="7">
        <v>7</v>
      </c>
      <c r="B421" s="7">
        <v>28</v>
      </c>
      <c r="C421" s="7">
        <f>INDEX(Sheet2!$B$2:$B$65,$B421+1)</f>
        <v>2850285829</v>
      </c>
      <c r="D421" s="7">
        <f>INDEX(Sheet2!$C$2:$C$65,$B421+1)</f>
        <v>5</v>
      </c>
      <c r="E421" s="7">
        <f>INDEX(Sheet2!$D$2:$D$65,$B421+1)</f>
        <v>13</v>
      </c>
      <c r="F421" s="7">
        <f>INDEX(Sheet3!$AY$2:$BN$11,$A421,$E421+1)</f>
        <v>0</v>
      </c>
      <c r="G421" s="7">
        <f>IF($B421&lt;16,_xlfn.BITOR(_xlfn.BITAND($K420,$L420),_xlfn.BITAND(4294967295-$K420,$M420)),IF($B421&lt;32,_xlfn.BITOR(_xlfn.BITAND($M420,$K420),_xlfn.BITAND(4294967295-$M420,$L420)),IF($B421&lt;48,_xlfn.BITXOR(_xlfn.BITXOR($K420,$L420),$M420),_xlfn.BITXOR($L420,_xlfn.BITOR($K420,4294967295-$M420)))))</f>
        <v>1575683683</v>
      </c>
      <c r="H421" s="7">
        <f>MOD($G421+$J420+$C421+$F421,4294967296)</f>
        <v>3441853020</v>
      </c>
      <c r="I421" s="7">
        <f>MOD($H421,2^(32-$D421))*2^$D421+INT($H421/2^(32-$D421))</f>
        <v>2765114265</v>
      </c>
      <c r="J421" s="7">
        <f>$M420</f>
        <v>2193813990</v>
      </c>
      <c r="K421" s="7">
        <f>MOD($K420+$I421,4294967296)</f>
        <v>2928823316</v>
      </c>
      <c r="L421" s="7">
        <f>$K420</f>
        <v>163709051</v>
      </c>
      <c r="M421" s="7">
        <f>$L420</f>
        <v>3744179717</v>
      </c>
    </row>
    <row r="422" spans="1:13">
      <c r="A422" s="7">
        <v>7</v>
      </c>
      <c r="B422" s="7">
        <v>29</v>
      </c>
      <c r="C422" s="7">
        <f>INDEX(Sheet2!$B$2:$B$65,$B422+1)</f>
        <v>4243563512</v>
      </c>
      <c r="D422" s="7">
        <f>INDEX(Sheet2!$C$2:$C$65,$B422+1)</f>
        <v>9</v>
      </c>
      <c r="E422" s="7">
        <f>INDEX(Sheet2!$D$2:$D$65,$B422+1)</f>
        <v>2</v>
      </c>
      <c r="F422" s="7">
        <f>INDEX(Sheet3!$AY$2:$BN$11,$A422,$E422+1)</f>
        <v>1601792820</v>
      </c>
      <c r="G422" s="7">
        <f>IF($B422&lt;16,_xlfn.BITOR(_xlfn.BITAND($K421,$L421),_xlfn.BITAND(4294967295-$K421,$M421)),IF($B422&lt;32,_xlfn.BITOR(_xlfn.BITAND($M421,$K421),_xlfn.BITAND(4294967295-$M421,$L421)),IF($B422&lt;48,_xlfn.BITXOR(_xlfn.BITXOR($K421,$L421),$M421),_xlfn.BITXOR($L421,_xlfn.BITOR($K421,4294967295-$M421)))))</f>
        <v>2395079806</v>
      </c>
      <c r="H422" s="7">
        <f>MOD($G422+$J421+$C422+$F422,4294967296)</f>
        <v>1844315536</v>
      </c>
      <c r="I422" s="7">
        <f>MOD($H422,2^(32-$D422))*2^$D422+INT($H422/2^(32-$D422))</f>
        <v>3691716827</v>
      </c>
      <c r="J422" s="7">
        <f>$M421</f>
        <v>3744179717</v>
      </c>
      <c r="K422" s="7">
        <f>MOD($K421+$I422,4294967296)</f>
        <v>2325572847</v>
      </c>
      <c r="L422" s="7">
        <f>$K421</f>
        <v>2928823316</v>
      </c>
      <c r="M422" s="7">
        <f>$L421</f>
        <v>163709051</v>
      </c>
    </row>
    <row r="423" spans="1:13">
      <c r="A423" s="7">
        <v>7</v>
      </c>
      <c r="B423" s="7">
        <v>30</v>
      </c>
      <c r="C423" s="7">
        <f>INDEX(Sheet2!$B$2:$B$65,$B423+1)</f>
        <v>1735328473</v>
      </c>
      <c r="D423" s="7">
        <f>INDEX(Sheet2!$C$2:$C$65,$B423+1)</f>
        <v>14</v>
      </c>
      <c r="E423" s="7">
        <f>INDEX(Sheet2!$D$2:$D$65,$B423+1)</f>
        <v>7</v>
      </c>
      <c r="F423" s="7">
        <f>INDEX(Sheet3!$AY$2:$BN$11,$A423,$E423+1)</f>
        <v>0</v>
      </c>
      <c r="G423" s="7">
        <f>IF($B423&lt;16,_xlfn.BITOR(_xlfn.BITAND($K422,$L422),_xlfn.BITAND(4294967295-$K422,$M422)),IF($B423&lt;32,_xlfn.BITOR(_xlfn.BITAND($M422,$K422),_xlfn.BITAND(4294967295-$M422,$L422)),IF($B423&lt;48,_xlfn.BITXOR(_xlfn.BITXOR($K422,$L422),$M422),_xlfn.BITXOR($L422,_xlfn.BITOR($K422,4294967295-$M422)))))</f>
        <v>2928692335</v>
      </c>
      <c r="H423" s="7">
        <f>MOD($G423+$J422+$C423+$F423,4294967296)</f>
        <v>4113233229</v>
      </c>
      <c r="I423" s="7">
        <f>MOD($H423,2^(32-$D423))*2^$D423+INT($H423/2^(32-$D423))</f>
        <v>3176365386</v>
      </c>
      <c r="J423" s="7">
        <f>$M422</f>
        <v>163709051</v>
      </c>
      <c r="K423" s="7">
        <f>MOD($K422+$I423,4294967296)</f>
        <v>1206970937</v>
      </c>
      <c r="L423" s="7">
        <f>$K422</f>
        <v>2325572847</v>
      </c>
      <c r="M423" s="7">
        <f>$L422</f>
        <v>2928823316</v>
      </c>
    </row>
    <row r="424" spans="1:13">
      <c r="A424" s="7">
        <v>7</v>
      </c>
      <c r="B424" s="7">
        <v>31</v>
      </c>
      <c r="C424" s="7">
        <f>INDEX(Sheet2!$B$2:$B$65,$B424+1)</f>
        <v>2368359562</v>
      </c>
      <c r="D424" s="7">
        <f>INDEX(Sheet2!$C$2:$C$65,$B424+1)</f>
        <v>20</v>
      </c>
      <c r="E424" s="7">
        <f>INDEX(Sheet2!$D$2:$D$65,$B424+1)</f>
        <v>12</v>
      </c>
      <c r="F424" s="7">
        <f>INDEX(Sheet3!$AY$2:$BN$11,$A424,$E424+1)</f>
        <v>0</v>
      </c>
      <c r="G424" s="7">
        <f>IF($B424&lt;16,_xlfn.BITOR(_xlfn.BITAND($K423,$L423),_xlfn.BITAND(4294967295-$K423,$M423)),IF($B424&lt;32,_xlfn.BITOR(_xlfn.BITAND($M423,$K423),_xlfn.BITAND(4294967295-$M423,$L423)),IF($B424&lt;48,_xlfn.BITXOR(_xlfn.BITXOR($K423,$L423),$M423),_xlfn.BITXOR($L423,_xlfn.BITOR($K423,4294967295-$M423)))))</f>
        <v>110979323</v>
      </c>
      <c r="H424" s="7">
        <f>MOD($G424+$J423+$C424+$F424,4294967296)</f>
        <v>2643047936</v>
      </c>
      <c r="I424" s="7">
        <f>MOD($H424,2^(32-$D424))*2^$D424+INT($H424/2^(32-$D424))</f>
        <v>1611258011</v>
      </c>
      <c r="J424" s="7">
        <f>$M423</f>
        <v>2928823316</v>
      </c>
      <c r="K424" s="7">
        <f>MOD($K423+$I424,4294967296)</f>
        <v>2818228948</v>
      </c>
      <c r="L424" s="7">
        <f>$K423</f>
        <v>1206970937</v>
      </c>
      <c r="M424" s="7">
        <f>$L423</f>
        <v>2325572847</v>
      </c>
    </row>
    <row r="425" spans="1:13">
      <c r="A425" s="7">
        <v>7</v>
      </c>
      <c r="B425" s="7">
        <v>32</v>
      </c>
      <c r="C425" s="7">
        <f>INDEX(Sheet2!$B$2:$B$65,$B425+1)</f>
        <v>4294588738</v>
      </c>
      <c r="D425" s="7">
        <f>INDEX(Sheet2!$C$2:$C$65,$B425+1)</f>
        <v>4</v>
      </c>
      <c r="E425" s="7">
        <f>INDEX(Sheet2!$D$2:$D$65,$B425+1)</f>
        <v>5</v>
      </c>
      <c r="F425" s="7">
        <f>INDEX(Sheet3!$AY$2:$BN$11,$A425,$E425+1)</f>
        <v>0</v>
      </c>
      <c r="G425" s="7">
        <f>IF($B425&lt;16,_xlfn.BITOR(_xlfn.BITAND($K424,$L424),_xlfn.BITAND(4294967295-$K424,$M424)),IF($B425&lt;32,_xlfn.BITOR(_xlfn.BITAND($M424,$K424),_xlfn.BITAND(4294967295-$M424,$L424)),IF($B425&lt;48,_xlfn.BITXOR(_xlfn.BITXOR($K424,$L424),$M424),_xlfn.BITXOR($L424,_xlfn.BITOR($K424,4294967295-$M424)))))</f>
        <v>1788298242</v>
      </c>
      <c r="H425" s="7">
        <f>MOD($G425+$J424+$C425+$F425,4294967296)</f>
        <v>421775704</v>
      </c>
      <c r="I425" s="7">
        <f>MOD($H425,2^(32-$D425))*2^$D425+INT($H425/2^(32-$D425))</f>
        <v>2453443969</v>
      </c>
      <c r="J425" s="7">
        <f>$M424</f>
        <v>2325572847</v>
      </c>
      <c r="K425" s="7">
        <f>MOD($K424+$I425,4294967296)</f>
        <v>976705621</v>
      </c>
      <c r="L425" s="7">
        <f>$K424</f>
        <v>2818228948</v>
      </c>
      <c r="M425" s="7">
        <f>$L424</f>
        <v>1206970937</v>
      </c>
    </row>
    <row r="426" spans="1:13">
      <c r="A426" s="7">
        <v>7</v>
      </c>
      <c r="B426" s="7">
        <v>33</v>
      </c>
      <c r="C426" s="7">
        <f>INDEX(Sheet2!$B$2:$B$65,$B426+1)</f>
        <v>2272392833</v>
      </c>
      <c r="D426" s="7">
        <f>INDEX(Sheet2!$C$2:$C$65,$B426+1)</f>
        <v>11</v>
      </c>
      <c r="E426" s="7">
        <f>INDEX(Sheet2!$D$2:$D$65,$B426+1)</f>
        <v>8</v>
      </c>
      <c r="F426" s="7">
        <f>INDEX(Sheet3!$AY$2:$BN$11,$A426,$E426+1)</f>
        <v>0</v>
      </c>
      <c r="G426" s="7">
        <f>IF($B426&lt;16,_xlfn.BITOR(_xlfn.BITAND($K425,$L425),_xlfn.BITAND(4294967295-$K425,$M425)),IF($B426&lt;32,_xlfn.BITOR(_xlfn.BITAND($M425,$K425),_xlfn.BITAND(4294967295-$M425,$L425)),IF($B426&lt;48,_xlfn.BITXOR(_xlfn.BITXOR($K425,$L425),$M425),_xlfn.BITXOR($L425,_xlfn.BITOR($K425,4294967295-$M425)))))</f>
        <v>3661459640</v>
      </c>
      <c r="H426" s="7">
        <f>MOD($G426+$J425+$C426+$F426,4294967296)</f>
        <v>3964458024</v>
      </c>
      <c r="I426" s="7">
        <f>MOD($H426,2^(32-$D426))*2^$D426+INT($H426/2^(32-$D426))</f>
        <v>1721845602</v>
      </c>
      <c r="J426" s="7">
        <f>$M425</f>
        <v>1206970937</v>
      </c>
      <c r="K426" s="7">
        <f>MOD($K425+$I426,4294967296)</f>
        <v>2698551223</v>
      </c>
      <c r="L426" s="7">
        <f>$K425</f>
        <v>976705621</v>
      </c>
      <c r="M426" s="7">
        <f>$L425</f>
        <v>2818228948</v>
      </c>
    </row>
    <row r="427" spans="1:13">
      <c r="A427" s="7">
        <v>7</v>
      </c>
      <c r="B427" s="7">
        <v>34</v>
      </c>
      <c r="C427" s="7">
        <f>INDEX(Sheet2!$B$2:$B$65,$B427+1)</f>
        <v>1839030562</v>
      </c>
      <c r="D427" s="7">
        <f>INDEX(Sheet2!$C$2:$C$65,$B427+1)</f>
        <v>16</v>
      </c>
      <c r="E427" s="7">
        <f>INDEX(Sheet2!$D$2:$D$65,$B427+1)</f>
        <v>11</v>
      </c>
      <c r="F427" s="7">
        <f>INDEX(Sheet3!$AY$2:$BN$11,$A427,$E427+1)</f>
        <v>0</v>
      </c>
      <c r="G427" s="7">
        <f>IF($B427&lt;16,_xlfn.BITOR(_xlfn.BITAND($K426,$L426),_xlfn.BITAND(4294967295-$K426,$M426)),IF($B427&lt;32,_xlfn.BITOR(_xlfn.BITAND($M426,$K426),_xlfn.BITAND(4294967295-$M426,$L426)),IF($B427&lt;48,_xlfn.BITXOR(_xlfn.BITXOR($K426,$L426),$M426),_xlfn.BITXOR($L426,_xlfn.BITOR($K426,4294967295-$M426)))))</f>
        <v>1024787766</v>
      </c>
      <c r="H427" s="7">
        <f>MOD($G427+$J426+$C427+$F427,4294967296)</f>
        <v>4070789265</v>
      </c>
      <c r="I427" s="7">
        <f>MOD($H427,2^(32-$D427))*2^$D427+INT($H427/2^(32-$D427))</f>
        <v>1351742115</v>
      </c>
      <c r="J427" s="7">
        <f>$M426</f>
        <v>2818228948</v>
      </c>
      <c r="K427" s="7">
        <f>MOD($K426+$I427,4294967296)</f>
        <v>4050293338</v>
      </c>
      <c r="L427" s="7">
        <f>$K426</f>
        <v>2698551223</v>
      </c>
      <c r="M427" s="7">
        <f>$L426</f>
        <v>976705621</v>
      </c>
    </row>
    <row r="428" spans="1:13">
      <c r="A428" s="7">
        <v>7</v>
      </c>
      <c r="B428" s="7">
        <v>35</v>
      </c>
      <c r="C428" s="7">
        <f>INDEX(Sheet2!$B$2:$B$65,$B428+1)</f>
        <v>4259657740</v>
      </c>
      <c r="D428" s="7">
        <f>INDEX(Sheet2!$C$2:$C$65,$B428+1)</f>
        <v>23</v>
      </c>
      <c r="E428" s="7">
        <f>INDEX(Sheet2!$D$2:$D$65,$B428+1)</f>
        <v>14</v>
      </c>
      <c r="F428" s="7">
        <f>INDEX(Sheet3!$AY$2:$BN$11,$A428,$E428+1)</f>
        <v>152</v>
      </c>
      <c r="G428" s="7">
        <f>IF($B428&lt;16,_xlfn.BITOR(_xlfn.BITAND($K427,$L427),_xlfn.BITAND(4294967295-$K427,$M427)),IF($B428&lt;32,_xlfn.BITOR(_xlfn.BITAND($M427,$K427),_xlfn.BITAND(4294967295-$M427,$L427)),IF($B428&lt;48,_xlfn.BITXOR(_xlfn.BITXOR($K427,$L427),$M427),_xlfn.BITXOR($L427,_xlfn.BITOR($K427,4294967295-$M427)))))</f>
        <v>1803900344</v>
      </c>
      <c r="H428" s="7">
        <f>MOD($G428+$J427+$C428+$F428,4294967296)</f>
        <v>291852592</v>
      </c>
      <c r="I428" s="7">
        <f>MOD($H428,2^(32-$D428))*2^$D428+INT($H428/2^(32-$D428))</f>
        <v>2550706856</v>
      </c>
      <c r="J428" s="7">
        <f>$M427</f>
        <v>976705621</v>
      </c>
      <c r="K428" s="7">
        <f>MOD($K427+$I428,4294967296)</f>
        <v>2306032898</v>
      </c>
      <c r="L428" s="7">
        <f>$K427</f>
        <v>4050293338</v>
      </c>
      <c r="M428" s="7">
        <f>$L427</f>
        <v>2698551223</v>
      </c>
    </row>
    <row r="429" spans="1:13">
      <c r="A429" s="7">
        <v>7</v>
      </c>
      <c r="B429" s="7">
        <v>36</v>
      </c>
      <c r="C429" s="7">
        <f>INDEX(Sheet2!$B$2:$B$65,$B429+1)</f>
        <v>2763975236</v>
      </c>
      <c r="D429" s="7">
        <f>INDEX(Sheet2!$C$2:$C$65,$B429+1)</f>
        <v>4</v>
      </c>
      <c r="E429" s="7">
        <f>INDEX(Sheet2!$D$2:$D$65,$B429+1)</f>
        <v>1</v>
      </c>
      <c r="F429" s="7">
        <f>INDEX(Sheet3!$AY$2:$BN$11,$A429,$E429+1)</f>
        <v>862876511</v>
      </c>
      <c r="G429" s="7">
        <f>IF($B429&lt;16,_xlfn.BITOR(_xlfn.BITAND($K428,$L428),_xlfn.BITAND(4294967295-$K428,$M428)),IF($B429&lt;32,_xlfn.BITOR(_xlfn.BITAND($M428,$K428),_xlfn.BITAND(4294967295-$M428,$L428)),IF($B429&lt;48,_xlfn.BITXOR(_xlfn.BITXOR($K428,$L428),$M428),_xlfn.BITXOR($L428,_xlfn.BITOR($K428,4294967295-$M428)))))</f>
        <v>3636545775</v>
      </c>
      <c r="H429" s="7">
        <f>MOD($G429+$J428+$C429+$F429,4294967296)</f>
        <v>3945135847</v>
      </c>
      <c r="I429" s="7">
        <f>MOD($H429,2^(32-$D429))*2^$D429+INT($H429/2^(32-$D429))</f>
        <v>2992631422</v>
      </c>
      <c r="J429" s="7">
        <f>$M428</f>
        <v>2698551223</v>
      </c>
      <c r="K429" s="7">
        <f>MOD($K428+$I429,4294967296)</f>
        <v>1003697024</v>
      </c>
      <c r="L429" s="7">
        <f>$K428</f>
        <v>2306032898</v>
      </c>
      <c r="M429" s="7">
        <f>$L428</f>
        <v>4050293338</v>
      </c>
    </row>
    <row r="430" spans="1:13">
      <c r="A430" s="7">
        <v>7</v>
      </c>
      <c r="B430" s="7">
        <v>37</v>
      </c>
      <c r="C430" s="7">
        <f>INDEX(Sheet2!$B$2:$B$65,$B430+1)</f>
        <v>1272893353</v>
      </c>
      <c r="D430" s="7">
        <f>INDEX(Sheet2!$C$2:$C$65,$B430+1)</f>
        <v>11</v>
      </c>
      <c r="E430" s="7">
        <f>INDEX(Sheet2!$D$2:$D$65,$B430+1)</f>
        <v>4</v>
      </c>
      <c r="F430" s="7">
        <f>INDEX(Sheet3!$AY$2:$BN$11,$A430,$E430+1)</f>
        <v>2151628607</v>
      </c>
      <c r="G430" s="7">
        <f>IF($B430&lt;16,_xlfn.BITOR(_xlfn.BITAND($K429,$L429),_xlfn.BITAND(4294967295-$K429,$M429)),IF($B430&lt;32,_xlfn.BITOR(_xlfn.BITAND($M429,$K429),_xlfn.BITAND(4294967295-$M429,$L429)),IF($B430&lt;48,_xlfn.BITXOR(_xlfn.BITXOR($K429,$L429),$M429),_xlfn.BITXOR($L429,_xlfn.BITOR($K429,4294967295-$M429)))))</f>
        <v>1137370328</v>
      </c>
      <c r="H430" s="7">
        <f>MOD($G430+$J429+$C430+$F430,4294967296)</f>
        <v>2965476215</v>
      </c>
      <c r="I430" s="7">
        <f>MOD($H430,2^(32-$D430))*2^$D430+INT($H430/2^(32-$D430))</f>
        <v>211533190</v>
      </c>
      <c r="J430" s="7">
        <f>$M429</f>
        <v>4050293338</v>
      </c>
      <c r="K430" s="7">
        <f>MOD($K429+$I430,4294967296)</f>
        <v>1215230214</v>
      </c>
      <c r="L430" s="7">
        <f>$K429</f>
        <v>1003697024</v>
      </c>
      <c r="M430" s="7">
        <f>$L429</f>
        <v>2306032898</v>
      </c>
    </row>
    <row r="431" spans="1:13">
      <c r="A431" s="7">
        <v>7</v>
      </c>
      <c r="B431" s="7">
        <v>38</v>
      </c>
      <c r="C431" s="7">
        <f>INDEX(Sheet2!$B$2:$B$65,$B431+1)</f>
        <v>4139469664</v>
      </c>
      <c r="D431" s="7">
        <f>INDEX(Sheet2!$C$2:$C$65,$B431+1)</f>
        <v>16</v>
      </c>
      <c r="E431" s="7">
        <f>INDEX(Sheet2!$D$2:$D$65,$B431+1)</f>
        <v>7</v>
      </c>
      <c r="F431" s="7">
        <f>INDEX(Sheet3!$AY$2:$BN$11,$A431,$E431+1)</f>
        <v>0</v>
      </c>
      <c r="G431" s="7">
        <f>IF($B431&lt;16,_xlfn.BITOR(_xlfn.BITAND($K430,$L430),_xlfn.BITAND(4294967295-$K430,$M430)),IF($B431&lt;32,_xlfn.BITOR(_xlfn.BITAND($M430,$K430),_xlfn.BITAND(4294967295-$M430,$L430)),IF($B431&lt;48,_xlfn.BITXOR(_xlfn.BITXOR($K430,$L430),$M430),_xlfn.BITXOR($L430,_xlfn.BITOR($K430,4294967295-$M430)))))</f>
        <v>4207839108</v>
      </c>
      <c r="H431" s="7">
        <f>MOD($G431+$J430+$C431+$F431,4294967296)</f>
        <v>3807667518</v>
      </c>
      <c r="I431" s="7">
        <f>MOD($H431,2^(32-$D431))*2^$D431+INT($H431/2^(32-$D431))</f>
        <v>1698620148</v>
      </c>
      <c r="J431" s="7">
        <f>$M430</f>
        <v>2306032898</v>
      </c>
      <c r="K431" s="7">
        <f>MOD($K430+$I431,4294967296)</f>
        <v>2913850362</v>
      </c>
      <c r="L431" s="7">
        <f>$K430</f>
        <v>1215230214</v>
      </c>
      <c r="M431" s="7">
        <f>$L430</f>
        <v>1003697024</v>
      </c>
    </row>
    <row r="432" spans="1:13">
      <c r="A432" s="7">
        <v>7</v>
      </c>
      <c r="B432" s="7">
        <v>39</v>
      </c>
      <c r="C432" s="7">
        <f>INDEX(Sheet2!$B$2:$B$65,$B432+1)</f>
        <v>3200236656</v>
      </c>
      <c r="D432" s="7">
        <f>INDEX(Sheet2!$C$2:$C$65,$B432+1)</f>
        <v>23</v>
      </c>
      <c r="E432" s="7">
        <f>INDEX(Sheet2!$D$2:$D$65,$B432+1)</f>
        <v>10</v>
      </c>
      <c r="F432" s="7">
        <f>INDEX(Sheet3!$AY$2:$BN$11,$A432,$E432+1)</f>
        <v>0</v>
      </c>
      <c r="G432" s="7">
        <f>IF($B432&lt;16,_xlfn.BITOR(_xlfn.BITAND($K431,$L431),_xlfn.BITAND(4294967295-$K431,$M431)),IF($B432&lt;32,_xlfn.BITOR(_xlfn.BITAND($M431,$K431),_xlfn.BITAND(4294967295-$M431,$L431)),IF($B432&lt;48,_xlfn.BITXOR(_xlfn.BITXOR($K431,$L431),$M431),_xlfn.BITXOR($L431,_xlfn.BITOR($K431,4294967295-$M431)))))</f>
        <v>3725595004</v>
      </c>
      <c r="H432" s="7">
        <f>MOD($G432+$J431+$C432+$F432,4294967296)</f>
        <v>641929966</v>
      </c>
      <c r="I432" s="7">
        <f>MOD($H432,2^(32-$D432))*2^$D432+INT($H432/2^(32-$D432))</f>
        <v>1997742473</v>
      </c>
      <c r="J432" s="7">
        <f>$M431</f>
        <v>1003697024</v>
      </c>
      <c r="K432" s="7">
        <f>MOD($K431+$I432,4294967296)</f>
        <v>616625539</v>
      </c>
      <c r="L432" s="7">
        <f>$K431</f>
        <v>2913850362</v>
      </c>
      <c r="M432" s="7">
        <f>$L431</f>
        <v>1215230214</v>
      </c>
    </row>
    <row r="433" spans="1:13">
      <c r="A433" s="7">
        <v>7</v>
      </c>
      <c r="B433" s="7">
        <v>40</v>
      </c>
      <c r="C433" s="7">
        <f>INDEX(Sheet2!$B$2:$B$65,$B433+1)</f>
        <v>681279174</v>
      </c>
      <c r="D433" s="7">
        <f>INDEX(Sheet2!$C$2:$C$65,$B433+1)</f>
        <v>4</v>
      </c>
      <c r="E433" s="7">
        <f>INDEX(Sheet2!$D$2:$D$65,$B433+1)</f>
        <v>13</v>
      </c>
      <c r="F433" s="7">
        <f>INDEX(Sheet3!$AY$2:$BN$11,$A433,$E433+1)</f>
        <v>0</v>
      </c>
      <c r="G433" s="7">
        <f>IF($B433&lt;16,_xlfn.BITOR(_xlfn.BITAND($K432,$L432),_xlfn.BITAND(4294967295-$K432,$M432)),IF($B433&lt;32,_xlfn.BITOR(_xlfn.BITAND($M432,$K432),_xlfn.BITAND(4294967295-$M432,$L432)),IF($B433&lt;48,_xlfn.BITXOR(_xlfn.BITXOR($K432,$L432),$M432),_xlfn.BITXOR($L432,_xlfn.BITOR($K432,4294967295-$M432)))))</f>
        <v>3238254463</v>
      </c>
      <c r="H433" s="7">
        <f>MOD($G433+$J432+$C433+$F433,4294967296)</f>
        <v>628263365</v>
      </c>
      <c r="I433" s="7">
        <f>MOD($H433,2^(32-$D433))*2^$D433+INT($H433/2^(32-$D433))</f>
        <v>1462279250</v>
      </c>
      <c r="J433" s="7">
        <f>$M432</f>
        <v>1215230214</v>
      </c>
      <c r="K433" s="7">
        <f>MOD($K432+$I433,4294967296)</f>
        <v>2078904789</v>
      </c>
      <c r="L433" s="7">
        <f>$K432</f>
        <v>616625539</v>
      </c>
      <c r="M433" s="7">
        <f>$L432</f>
        <v>2913850362</v>
      </c>
    </row>
    <row r="434" spans="1:13">
      <c r="A434" s="7">
        <v>7</v>
      </c>
      <c r="B434" s="7">
        <v>41</v>
      </c>
      <c r="C434" s="7">
        <f>INDEX(Sheet2!$B$2:$B$65,$B434+1)</f>
        <v>3936430074</v>
      </c>
      <c r="D434" s="7">
        <f>INDEX(Sheet2!$C$2:$C$65,$B434+1)</f>
        <v>11</v>
      </c>
      <c r="E434" s="7">
        <f>INDEX(Sheet2!$D$2:$D$65,$B434+1)</f>
        <v>0</v>
      </c>
      <c r="F434" s="7">
        <f>INDEX(Sheet3!$AY$2:$BN$11,$A434,$E434+1)</f>
        <v>1701654643</v>
      </c>
      <c r="G434" s="7">
        <f>IF($B434&lt;16,_xlfn.BITOR(_xlfn.BITAND($K433,$L433),_xlfn.BITAND(4294967295-$K433,$M433)),IF($B434&lt;32,_xlfn.BITOR(_xlfn.BITAND($M433,$K433),_xlfn.BITAND(4294967295-$M433,$L433)),IF($B434&lt;48,_xlfn.BITXOR(_xlfn.BITXOR($K433,$L433),$M433),_xlfn.BITXOR($L433,_xlfn.BITOR($K433,4294967295-$M433)))))</f>
        <v>4068784044</v>
      </c>
      <c r="H434" s="7">
        <f>MOD($G434+$J433+$C434+$F434,4294967296)</f>
        <v>2332164383</v>
      </c>
      <c r="I434" s="7">
        <f>MOD($H434,2^(32-$D434))*2^$D434+INT($H434/2^(32-$D434))</f>
        <v>269024344</v>
      </c>
      <c r="J434" s="7">
        <f>$M433</f>
        <v>2913850362</v>
      </c>
      <c r="K434" s="7">
        <f>MOD($K433+$I434,4294967296)</f>
        <v>2347929133</v>
      </c>
      <c r="L434" s="7">
        <f>$K433</f>
        <v>2078904789</v>
      </c>
      <c r="M434" s="7">
        <f>$L433</f>
        <v>616625539</v>
      </c>
    </row>
    <row r="435" spans="1:13">
      <c r="A435" s="7">
        <v>7</v>
      </c>
      <c r="B435" s="7">
        <v>42</v>
      </c>
      <c r="C435" s="7">
        <f>INDEX(Sheet2!$B$2:$B$65,$B435+1)</f>
        <v>3572445317</v>
      </c>
      <c r="D435" s="7">
        <f>INDEX(Sheet2!$C$2:$C$65,$B435+1)</f>
        <v>16</v>
      </c>
      <c r="E435" s="7">
        <f>INDEX(Sheet2!$D$2:$D$65,$B435+1)</f>
        <v>3</v>
      </c>
      <c r="F435" s="7">
        <f>INDEX(Sheet3!$AY$2:$BN$11,$A435,$E435+1)</f>
        <v>1953248371</v>
      </c>
      <c r="G435" s="7">
        <f>IF($B435&lt;16,_xlfn.BITOR(_xlfn.BITAND($K434,$L434),_xlfn.BITAND(4294967295-$K434,$M434)),IF($B435&lt;32,_xlfn.BITOR(_xlfn.BITAND($M434,$K434),_xlfn.BITAND(4294967295-$M434,$L434)),IF($B435&lt;48,_xlfn.BITXOR(_xlfn.BITXOR($K434,$L434),$M434),_xlfn.BITXOR($L434,_xlfn.BITOR($K434,4294967295-$M434)))))</f>
        <v>3571182203</v>
      </c>
      <c r="H435" s="7">
        <f>MOD($G435+$J434+$C435+$F435,4294967296)</f>
        <v>3420791661</v>
      </c>
      <c r="I435" s="7">
        <f>MOD($H435,2^(32-$D435))*2^$D435+INT($H435/2^(32-$D435))</f>
        <v>594398181</v>
      </c>
      <c r="J435" s="7">
        <f>$M434</f>
        <v>616625539</v>
      </c>
      <c r="K435" s="7">
        <f>MOD($K434+$I435,4294967296)</f>
        <v>2942327314</v>
      </c>
      <c r="L435" s="7">
        <f>$K434</f>
        <v>2347929133</v>
      </c>
      <c r="M435" s="7">
        <f>$L434</f>
        <v>2078904789</v>
      </c>
    </row>
    <row r="436" spans="1:13">
      <c r="A436" s="7">
        <v>7</v>
      </c>
      <c r="B436" s="7">
        <v>43</v>
      </c>
      <c r="C436" s="7">
        <f>INDEX(Sheet2!$B$2:$B$65,$B436+1)</f>
        <v>76029189</v>
      </c>
      <c r="D436" s="7">
        <f>INDEX(Sheet2!$C$2:$C$65,$B436+1)</f>
        <v>23</v>
      </c>
      <c r="E436" s="7">
        <f>INDEX(Sheet2!$D$2:$D$65,$B436+1)</f>
        <v>6</v>
      </c>
      <c r="F436" s="7">
        <f>INDEX(Sheet3!$AY$2:$BN$11,$A436,$E436+1)</f>
        <v>0</v>
      </c>
      <c r="G436" s="7">
        <f>IF($B436&lt;16,_xlfn.BITOR(_xlfn.BITAND($K435,$L435),_xlfn.BITAND(4294967295-$K435,$M435)),IF($B436&lt;32,_xlfn.BITOR(_xlfn.BITAND($M435,$K435),_xlfn.BITAND(4294967295-$M435,$L435)),IF($B436&lt;48,_xlfn.BITXOR(_xlfn.BITXOR($K435,$L435),$M435),_xlfn.BITXOR($L435,_xlfn.BITOR($K435,4294967295-$M435)))))</f>
        <v>1601914346</v>
      </c>
      <c r="H436" s="7">
        <f>MOD($G436+$J435+$C436+$F436,4294967296)</f>
        <v>2294569074</v>
      </c>
      <c r="I436" s="7">
        <f>MOD($H436,2^(32-$D436))*2^$D436+INT($H436/2^(32-$D436))</f>
        <v>960782892</v>
      </c>
      <c r="J436" s="7">
        <f>$M435</f>
        <v>2078904789</v>
      </c>
      <c r="K436" s="7">
        <f>MOD($K435+$I436,4294967296)</f>
        <v>3903110206</v>
      </c>
      <c r="L436" s="7">
        <f>$K435</f>
        <v>2942327314</v>
      </c>
      <c r="M436" s="7">
        <f>$L435</f>
        <v>2347929133</v>
      </c>
    </row>
    <row r="437" spans="1:13">
      <c r="A437" s="7">
        <v>7</v>
      </c>
      <c r="B437" s="7">
        <v>44</v>
      </c>
      <c r="C437" s="7">
        <f>INDEX(Sheet2!$B$2:$B$65,$B437+1)</f>
        <v>3654602809</v>
      </c>
      <c r="D437" s="7">
        <f>INDEX(Sheet2!$C$2:$C$65,$B437+1)</f>
        <v>4</v>
      </c>
      <c r="E437" s="7">
        <f>INDEX(Sheet2!$D$2:$D$65,$B437+1)</f>
        <v>9</v>
      </c>
      <c r="F437" s="7">
        <f>INDEX(Sheet3!$AY$2:$BN$11,$A437,$E437+1)</f>
        <v>0</v>
      </c>
      <c r="G437" s="7">
        <f>IF($B437&lt;16,_xlfn.BITOR(_xlfn.BITAND($K436,$L436),_xlfn.BITAND(4294967295-$K436,$M436)),IF($B437&lt;32,_xlfn.BITOR(_xlfn.BITAND($M436,$K436),_xlfn.BITAND(4294967295-$M436,$L436)),IF($B437&lt;48,_xlfn.BITXOR(_xlfn.BITXOR($K436,$L436),$M436),_xlfn.BITXOR($L436,_xlfn.BITOR($K436,4294967295-$M436)))))</f>
        <v>3426117633</v>
      </c>
      <c r="H437" s="7">
        <f>MOD($G437+$J436+$C437+$F437,4294967296)</f>
        <v>569690639</v>
      </c>
      <c r="I437" s="7">
        <f>MOD($H437,2^(32-$D437))*2^$D437+INT($H437/2^(32-$D437))</f>
        <v>525115634</v>
      </c>
      <c r="J437" s="7">
        <f>$M436</f>
        <v>2347929133</v>
      </c>
      <c r="K437" s="7">
        <f>MOD($K436+$I437,4294967296)</f>
        <v>133258544</v>
      </c>
      <c r="L437" s="7">
        <f>$K436</f>
        <v>3903110206</v>
      </c>
      <c r="M437" s="7">
        <f>$L436</f>
        <v>2942327314</v>
      </c>
    </row>
    <row r="438" spans="1:13">
      <c r="A438" s="7">
        <v>7</v>
      </c>
      <c r="B438" s="7">
        <v>45</v>
      </c>
      <c r="C438" s="7">
        <f>INDEX(Sheet2!$B$2:$B$65,$B438+1)</f>
        <v>3873151461</v>
      </c>
      <c r="D438" s="7">
        <f>INDEX(Sheet2!$C$2:$C$65,$B438+1)</f>
        <v>11</v>
      </c>
      <c r="E438" s="7">
        <f>INDEX(Sheet2!$D$2:$D$65,$B438+1)</f>
        <v>12</v>
      </c>
      <c r="F438" s="7">
        <f>INDEX(Sheet3!$AY$2:$BN$11,$A438,$E438+1)</f>
        <v>0</v>
      </c>
      <c r="G438" s="7">
        <f>IF($B438&lt;16,_xlfn.BITOR(_xlfn.BITAND($K437,$L437),_xlfn.BITAND(4294967295-$K437,$M437)),IF($B438&lt;32,_xlfn.BITOR(_xlfn.BITAND($M437,$K437),_xlfn.BITAND(4294967295-$M437,$L437)),IF($B438&lt;48,_xlfn.BITXOR(_xlfn.BITXOR($K437,$L437),$M437),_xlfn.BITXOR($L437,_xlfn.BITOR($K437,4294967295-$M437)))))</f>
        <v>1077263132</v>
      </c>
      <c r="H438" s="7">
        <f>MOD($G438+$J437+$C438+$F438,4294967296)</f>
        <v>3003376430</v>
      </c>
      <c r="I438" s="7">
        <f>MOD($H438,2^(32-$D438))*2^$D438+INT($H438/2^(32-$D438))</f>
        <v>521762200</v>
      </c>
      <c r="J438" s="7">
        <f>$M437</f>
        <v>2942327314</v>
      </c>
      <c r="K438" s="7">
        <f>MOD($K437+$I438,4294967296)</f>
        <v>655020744</v>
      </c>
      <c r="L438" s="7">
        <f>$K437</f>
        <v>133258544</v>
      </c>
      <c r="M438" s="7">
        <f>$L437</f>
        <v>3903110206</v>
      </c>
    </row>
    <row r="439" spans="1:13">
      <c r="A439" s="7">
        <v>7</v>
      </c>
      <c r="B439" s="7">
        <v>46</v>
      </c>
      <c r="C439" s="7">
        <f>INDEX(Sheet2!$B$2:$B$65,$B439+1)</f>
        <v>530742520</v>
      </c>
      <c r="D439" s="7">
        <f>INDEX(Sheet2!$C$2:$C$65,$B439+1)</f>
        <v>16</v>
      </c>
      <c r="E439" s="7">
        <f>INDEX(Sheet2!$D$2:$D$65,$B439+1)</f>
        <v>15</v>
      </c>
      <c r="F439" s="7">
        <f>INDEX(Sheet3!$AY$2:$BN$11,$A439,$E439+1)</f>
        <v>0</v>
      </c>
      <c r="G439" s="7">
        <f>IF($B439&lt;16,_xlfn.BITOR(_xlfn.BITAND($K438,$L438),_xlfn.BITAND(4294967295-$K438,$M438)),IF($B439&lt;32,_xlfn.BITOR(_xlfn.BITAND($M438,$K438),_xlfn.BITAND(4294967295-$M438,$L438)),IF($B439&lt;48,_xlfn.BITXOR(_xlfn.BITXOR($K438,$L438),$M438),_xlfn.BITXOR($L438,_xlfn.BITOR($K438,4294967295-$M438)))))</f>
        <v>3361682374</v>
      </c>
      <c r="H439" s="7">
        <f>MOD($G439+$J438+$C439+$F439,4294967296)</f>
        <v>2539784912</v>
      </c>
      <c r="I439" s="7">
        <f>MOD($H439,2^(32-$D439))*2^$D439+INT($H439/2^(32-$D439))</f>
        <v>181442402</v>
      </c>
      <c r="J439" s="7">
        <f>$M438</f>
        <v>3903110206</v>
      </c>
      <c r="K439" s="7">
        <f>MOD($K438+$I439,4294967296)</f>
        <v>836463146</v>
      </c>
      <c r="L439" s="7">
        <f>$K438</f>
        <v>655020744</v>
      </c>
      <c r="M439" s="7">
        <f>$L438</f>
        <v>133258544</v>
      </c>
    </row>
    <row r="440" spans="1:13">
      <c r="A440" s="7">
        <v>7</v>
      </c>
      <c r="B440" s="7">
        <v>47</v>
      </c>
      <c r="C440" s="7">
        <f>INDEX(Sheet2!$B$2:$B$65,$B440+1)</f>
        <v>3299628645</v>
      </c>
      <c r="D440" s="7">
        <f>INDEX(Sheet2!$C$2:$C$65,$B440+1)</f>
        <v>23</v>
      </c>
      <c r="E440" s="7">
        <f>INDEX(Sheet2!$D$2:$D$65,$B440+1)</f>
        <v>2</v>
      </c>
      <c r="F440" s="7">
        <f>INDEX(Sheet3!$AY$2:$BN$11,$A440,$E440+1)</f>
        <v>1601792820</v>
      </c>
      <c r="G440" s="7">
        <f>IF($B440&lt;16,_xlfn.BITOR(_xlfn.BITAND($K439,$L439),_xlfn.BITAND(4294967295-$K439,$M439)),IF($B440&lt;32,_xlfn.BITOR(_xlfn.BITAND($M439,$K439),_xlfn.BITAND(4294967295-$M439,$L439)),IF($B440&lt;48,_xlfn.BITXOR(_xlfn.BITXOR($K439,$L439),$M439),_xlfn.BITXOR($L439,_xlfn.BITOR($K439,4294967295-$M439)))))</f>
        <v>287368658</v>
      </c>
      <c r="H440" s="7">
        <f>MOD($G440+$J439+$C440+$F440,4294967296)</f>
        <v>501965737</v>
      </c>
      <c r="I440" s="7">
        <f>MOD($H440,2^(32-$D440))*2^$D440+INT($H440/2^(32-$D440))</f>
        <v>3566138801</v>
      </c>
      <c r="J440" s="7">
        <f>$M439</f>
        <v>133258544</v>
      </c>
      <c r="K440" s="7">
        <f>MOD($K439+$I440,4294967296)</f>
        <v>107634651</v>
      </c>
      <c r="L440" s="7">
        <f>$K439</f>
        <v>836463146</v>
      </c>
      <c r="M440" s="7">
        <f>$L439</f>
        <v>655020744</v>
      </c>
    </row>
    <row r="441" spans="1:13">
      <c r="A441" s="7">
        <v>7</v>
      </c>
      <c r="B441" s="7">
        <v>48</v>
      </c>
      <c r="C441" s="7">
        <f>INDEX(Sheet2!$B$2:$B$65,$B441+1)</f>
        <v>4096336452</v>
      </c>
      <c r="D441" s="7">
        <f>INDEX(Sheet2!$C$2:$C$65,$B441+1)</f>
        <v>6</v>
      </c>
      <c r="E441" s="7">
        <f>INDEX(Sheet2!$D$2:$D$65,$B441+1)</f>
        <v>0</v>
      </c>
      <c r="F441" s="7">
        <f>INDEX(Sheet3!$AY$2:$BN$11,$A441,$E441+1)</f>
        <v>1701654643</v>
      </c>
      <c r="G441" s="7">
        <f>IF($B441&lt;16,_xlfn.BITOR(_xlfn.BITAND($K440,$L440),_xlfn.BITAND(4294967295-$K440,$M440)),IF($B441&lt;32,_xlfn.BITOR(_xlfn.BITAND($M440,$K440),_xlfn.BITAND(4294967295-$M440,$L440)),IF($B441&lt;48,_xlfn.BITXOR(_xlfn.BITXOR($K440,$L440),$M440),_xlfn.BITXOR($L440,_xlfn.BITOR($K440,4294967295-$M440)))))</f>
        <v>4012119509</v>
      </c>
      <c r="H441" s="7">
        <f>MOD($G441+$J440+$C441+$F441,4294967296)</f>
        <v>1353434556</v>
      </c>
      <c r="I441" s="7">
        <f>MOD($H441,2^(32-$D441))*2^$D441+INT($H441/2^(32-$D441))</f>
        <v>720465684</v>
      </c>
      <c r="J441" s="7">
        <f>$M440</f>
        <v>655020744</v>
      </c>
      <c r="K441" s="7">
        <f>MOD($K440+$I441,4294967296)</f>
        <v>828100335</v>
      </c>
      <c r="L441" s="7">
        <f>$K440</f>
        <v>107634651</v>
      </c>
      <c r="M441" s="7">
        <f>$L440</f>
        <v>836463146</v>
      </c>
    </row>
    <row r="442" spans="1:13">
      <c r="A442" s="7">
        <v>7</v>
      </c>
      <c r="B442" s="7">
        <v>49</v>
      </c>
      <c r="C442" s="7">
        <f>INDEX(Sheet2!$B$2:$B$65,$B442+1)</f>
        <v>1126891415</v>
      </c>
      <c r="D442" s="7">
        <f>INDEX(Sheet2!$C$2:$C$65,$B442+1)</f>
        <v>10</v>
      </c>
      <c r="E442" s="7">
        <f>INDEX(Sheet2!$D$2:$D$65,$B442+1)</f>
        <v>7</v>
      </c>
      <c r="F442" s="7">
        <f>INDEX(Sheet3!$AY$2:$BN$11,$A442,$E442+1)</f>
        <v>0</v>
      </c>
      <c r="G442" s="7">
        <f>IF($B442&lt;16,_xlfn.BITOR(_xlfn.BITAND($K441,$L441),_xlfn.BITAND(4294967295-$K441,$M441)),IF($B442&lt;32,_xlfn.BITOR(_xlfn.BITAND($M441,$K441),_xlfn.BITAND(4294967295-$M441,$L441)),IF($B442&lt;48,_xlfn.BITXOR(_xlfn.BITXOR($K441,$L441),$M441),_xlfn.BITXOR($L441,_xlfn.BITOR($K441,4294967295-$M441)))))</f>
        <v>4178935844</v>
      </c>
      <c r="H442" s="7">
        <f>MOD($G442+$J441+$C442+$F442,4294967296)</f>
        <v>1665880707</v>
      </c>
      <c r="I442" s="7">
        <f>MOD($H442,2^(32-$D442))*2^$D442+INT($H442/2^(32-$D442))</f>
        <v>759827853</v>
      </c>
      <c r="J442" s="7">
        <f>$M441</f>
        <v>836463146</v>
      </c>
      <c r="K442" s="7">
        <f>MOD($K441+$I442,4294967296)</f>
        <v>1587928188</v>
      </c>
      <c r="L442" s="7">
        <f>$K441</f>
        <v>828100335</v>
      </c>
      <c r="M442" s="7">
        <f>$L441</f>
        <v>107634651</v>
      </c>
    </row>
    <row r="443" spans="1:13">
      <c r="A443" s="7">
        <v>7</v>
      </c>
      <c r="B443" s="7">
        <v>50</v>
      </c>
      <c r="C443" s="7">
        <f>INDEX(Sheet2!$B$2:$B$65,$B443+1)</f>
        <v>2878612391</v>
      </c>
      <c r="D443" s="7">
        <f>INDEX(Sheet2!$C$2:$C$65,$B443+1)</f>
        <v>15</v>
      </c>
      <c r="E443" s="7">
        <f>INDEX(Sheet2!$D$2:$D$65,$B443+1)</f>
        <v>14</v>
      </c>
      <c r="F443" s="7">
        <f>INDEX(Sheet3!$AY$2:$BN$11,$A443,$E443+1)</f>
        <v>152</v>
      </c>
      <c r="G443" s="7">
        <f>IF($B443&lt;16,_xlfn.BITOR(_xlfn.BITAND($K442,$L442),_xlfn.BITAND(4294967295-$K442,$M442)),IF($B443&lt;32,_xlfn.BITOR(_xlfn.BITAND($M442,$K442),_xlfn.BITAND(4294967295-$M442,$L442)),IF($B443&lt;48,_xlfn.BITXOR(_xlfn.BITXOR($K442,$L442),$M442),_xlfn.BITXOR($L442,_xlfn.BITOR($K442,4294967295-$M442)))))</f>
        <v>3471717011</v>
      </c>
      <c r="H443" s="7">
        <f>MOD($G443+$J442+$C443+$F443,4294967296)</f>
        <v>2891825404</v>
      </c>
      <c r="I443" s="7">
        <f>MOD($H443,2^(32-$D443))*2^$D443+INT($H443/2^(32-$D443))</f>
        <v>3766375982</v>
      </c>
      <c r="J443" s="7">
        <f>$M442</f>
        <v>107634651</v>
      </c>
      <c r="K443" s="7">
        <f>MOD($K442+$I443,4294967296)</f>
        <v>1059336874</v>
      </c>
      <c r="L443" s="7">
        <f>$K442</f>
        <v>1587928188</v>
      </c>
      <c r="M443" s="7">
        <f>$L442</f>
        <v>828100335</v>
      </c>
    </row>
    <row r="444" spans="1:13">
      <c r="A444" s="7">
        <v>7</v>
      </c>
      <c r="B444" s="7">
        <v>51</v>
      </c>
      <c r="C444" s="7">
        <f>INDEX(Sheet2!$B$2:$B$65,$B444+1)</f>
        <v>4237533241</v>
      </c>
      <c r="D444" s="7">
        <f>INDEX(Sheet2!$C$2:$C$65,$B444+1)</f>
        <v>21</v>
      </c>
      <c r="E444" s="7">
        <f>INDEX(Sheet2!$D$2:$D$65,$B444+1)</f>
        <v>5</v>
      </c>
      <c r="F444" s="7">
        <f>INDEX(Sheet3!$AY$2:$BN$11,$A444,$E444+1)</f>
        <v>0</v>
      </c>
      <c r="G444" s="7">
        <f>IF($B444&lt;16,_xlfn.BITOR(_xlfn.BITAND($K443,$L443),_xlfn.BITAND(4294967295-$K443,$M443)),IF($B444&lt;32,_xlfn.BITOR(_xlfn.BITAND($M443,$K443),_xlfn.BITAND(4294967295-$M443,$L443)),IF($B444&lt;48,_xlfn.BITXOR(_xlfn.BITXOR($K443,$L443),$M443),_xlfn.BITXOR($L443,_xlfn.BITOR($K443,4294967295-$M443)))))</f>
        <v>2701258694</v>
      </c>
      <c r="H444" s="7">
        <f>MOD($G444+$J443+$C444+$F444,4294967296)</f>
        <v>2751459290</v>
      </c>
      <c r="I444" s="7">
        <f>MOD($H444,2^(32-$D444))*2^$D444+INT($H444/2^(32-$D444))</f>
        <v>4216619005</v>
      </c>
      <c r="J444" s="7">
        <f>$M443</f>
        <v>828100335</v>
      </c>
      <c r="K444" s="7">
        <f>MOD($K443+$I444,4294967296)</f>
        <v>980988583</v>
      </c>
      <c r="L444" s="7">
        <f>$K443</f>
        <v>1059336874</v>
      </c>
      <c r="M444" s="7">
        <f>$L443</f>
        <v>1587928188</v>
      </c>
    </row>
    <row r="445" spans="1:13">
      <c r="A445" s="7">
        <v>7</v>
      </c>
      <c r="B445" s="7">
        <v>52</v>
      </c>
      <c r="C445" s="7">
        <f>INDEX(Sheet2!$B$2:$B$65,$B445+1)</f>
        <v>1700485571</v>
      </c>
      <c r="D445" s="7">
        <f>INDEX(Sheet2!$C$2:$C$65,$B445+1)</f>
        <v>6</v>
      </c>
      <c r="E445" s="7">
        <f>INDEX(Sheet2!$D$2:$D$65,$B445+1)</f>
        <v>12</v>
      </c>
      <c r="F445" s="7">
        <f>INDEX(Sheet3!$AY$2:$BN$11,$A445,$E445+1)</f>
        <v>0</v>
      </c>
      <c r="G445" s="7">
        <f>IF($B445&lt;16,_xlfn.BITOR(_xlfn.BITAND($K444,$L444),_xlfn.BITAND(4294967295-$K444,$M444)),IF($B445&lt;32,_xlfn.BITOR(_xlfn.BITAND($M444,$K444),_xlfn.BITAND(4294967295-$M444,$L444)),IF($B445&lt;48,_xlfn.BITXOR(_xlfn.BITXOR($K444,$L444),$M444),_xlfn.BITXOR($L444,_xlfn.BITOR($K444,4294967295-$M444)))))</f>
        <v>2220785933</v>
      </c>
      <c r="H445" s="7">
        <f>MOD($G445+$J444+$C445+$F445,4294967296)</f>
        <v>454404543</v>
      </c>
      <c r="I445" s="7">
        <f>MOD($H445,2^(32-$D445))*2^$D445+INT($H445/2^(32-$D445))</f>
        <v>3312086982</v>
      </c>
      <c r="J445" s="7">
        <f>$M444</f>
        <v>1587928188</v>
      </c>
      <c r="K445" s="7">
        <f>MOD($K444+$I445,4294967296)</f>
        <v>4293075565</v>
      </c>
      <c r="L445" s="7">
        <f>$K444</f>
        <v>980988583</v>
      </c>
      <c r="M445" s="7">
        <f>$L444</f>
        <v>1059336874</v>
      </c>
    </row>
    <row r="446" spans="1:13">
      <c r="A446" s="7">
        <v>7</v>
      </c>
      <c r="B446" s="7">
        <v>53</v>
      </c>
      <c r="C446" s="7">
        <f>INDEX(Sheet2!$B$2:$B$65,$B446+1)</f>
        <v>2399980690</v>
      </c>
      <c r="D446" s="7">
        <f>INDEX(Sheet2!$C$2:$C$65,$B446+1)</f>
        <v>10</v>
      </c>
      <c r="E446" s="7">
        <f>INDEX(Sheet2!$D$2:$D$65,$B446+1)</f>
        <v>3</v>
      </c>
      <c r="F446" s="7">
        <f>INDEX(Sheet3!$AY$2:$BN$11,$A446,$E446+1)</f>
        <v>1953248371</v>
      </c>
      <c r="G446" s="7">
        <f>IF($B446&lt;16,_xlfn.BITOR(_xlfn.BITAND($K445,$L445),_xlfn.BITAND(4294967295-$K445,$M445)),IF($B446&lt;32,_xlfn.BITOR(_xlfn.BITAND($M445,$K445),_xlfn.BITAND(4294967295-$M445,$L445)),IF($B446&lt;48,_xlfn.BITXOR(_xlfn.BITXOR($K445,$L445),$M445),_xlfn.BITXOR($L445,_xlfn.BITOR($K445,4294967295-$M445)))))</f>
        <v>3313720794</v>
      </c>
      <c r="H446" s="7">
        <f>MOD($G446+$J445+$C446+$F446,4294967296)</f>
        <v>664943451</v>
      </c>
      <c r="I446" s="7">
        <f>MOD($H446,2^(32-$D446))*2^$D446+INT($H446/2^(32-$D446))</f>
        <v>2297261214</v>
      </c>
      <c r="J446" s="7">
        <f>$M445</f>
        <v>1059336874</v>
      </c>
      <c r="K446" s="7">
        <f>MOD($K445+$I446,4294967296)</f>
        <v>2295369483</v>
      </c>
      <c r="L446" s="7">
        <f>$K445</f>
        <v>4293075565</v>
      </c>
      <c r="M446" s="7">
        <f>$L445</f>
        <v>980988583</v>
      </c>
    </row>
    <row r="447" spans="1:13">
      <c r="A447" s="7">
        <v>7</v>
      </c>
      <c r="B447" s="7">
        <v>54</v>
      </c>
      <c r="C447" s="7">
        <f>INDEX(Sheet2!$B$2:$B$65,$B447+1)</f>
        <v>4293915773</v>
      </c>
      <c r="D447" s="7">
        <f>INDEX(Sheet2!$C$2:$C$65,$B447+1)</f>
        <v>15</v>
      </c>
      <c r="E447" s="7">
        <f>INDEX(Sheet2!$D$2:$D$65,$B447+1)</f>
        <v>10</v>
      </c>
      <c r="F447" s="7">
        <f>INDEX(Sheet3!$AY$2:$BN$11,$A447,$E447+1)</f>
        <v>0</v>
      </c>
      <c r="G447" s="7">
        <f>IF($B447&lt;16,_xlfn.BITOR(_xlfn.BITAND($K446,$L446),_xlfn.BITAND(4294967295-$K446,$M446)),IF($B447&lt;32,_xlfn.BITOR(_xlfn.BITAND($M446,$K446),_xlfn.BITAND(4294967295-$M446,$L446)),IF($B447&lt;48,_xlfn.BITXOR(_xlfn.BITXOR($K446,$L446),$M446),_xlfn.BITXOR($L446,_xlfn.BITOR($K446,4294967295-$M446)))))</f>
        <v>842329398</v>
      </c>
      <c r="H447" s="7">
        <f>MOD($G447+$J446+$C447+$F447,4294967296)</f>
        <v>1900614749</v>
      </c>
      <c r="I447" s="7">
        <f>MOD($H447,2^(32-$D447))*2^$D447+INT($H447/2^(32-$D447))</f>
        <v>2318317732</v>
      </c>
      <c r="J447" s="7">
        <f>$M446</f>
        <v>980988583</v>
      </c>
      <c r="K447" s="7">
        <f>MOD($K446+$I447,4294967296)</f>
        <v>318719919</v>
      </c>
      <c r="L447" s="7">
        <f>$K446</f>
        <v>2295369483</v>
      </c>
      <c r="M447" s="7">
        <f>$L446</f>
        <v>4293075565</v>
      </c>
    </row>
    <row r="448" spans="1:13">
      <c r="A448" s="7">
        <v>7</v>
      </c>
      <c r="B448" s="7">
        <v>55</v>
      </c>
      <c r="C448" s="7">
        <f>INDEX(Sheet2!$B$2:$B$65,$B448+1)</f>
        <v>2240044497</v>
      </c>
      <c r="D448" s="7">
        <f>INDEX(Sheet2!$C$2:$C$65,$B448+1)</f>
        <v>21</v>
      </c>
      <c r="E448" s="7">
        <f>INDEX(Sheet2!$D$2:$D$65,$B448+1)</f>
        <v>1</v>
      </c>
      <c r="F448" s="7">
        <f>INDEX(Sheet3!$AY$2:$BN$11,$A448,$E448+1)</f>
        <v>862876511</v>
      </c>
      <c r="G448" s="7">
        <f>IF($B448&lt;16,_xlfn.BITOR(_xlfn.BITAND($K447,$L447),_xlfn.BITAND(4294967295-$K447,$M447)),IF($B448&lt;32,_xlfn.BITOR(_xlfn.BITAND($M447,$K447),_xlfn.BITAND(4294967295-$M447,$L447)),IF($B448&lt;48,_xlfn.BITXOR(_xlfn.BITXOR($K447,$L447),$M447),_xlfn.BITXOR($L447,_xlfn.BITOR($K447,4294967295-$M447)))))</f>
        <v>2586792116</v>
      </c>
      <c r="H448" s="7">
        <f>MOD($G448+$J447+$C448+$F448,4294967296)</f>
        <v>2375734411</v>
      </c>
      <c r="I448" s="7">
        <f>MOD($H448,2^(32-$D448))*2^$D448+INT($H448/2^(32-$D448))</f>
        <v>2440147802</v>
      </c>
      <c r="J448" s="7">
        <f>$M447</f>
        <v>4293075565</v>
      </c>
      <c r="K448" s="7">
        <f>MOD($K447+$I448,4294967296)</f>
        <v>2758867721</v>
      </c>
      <c r="L448" s="7">
        <f>$K447</f>
        <v>318719919</v>
      </c>
      <c r="M448" s="7">
        <f>$L447</f>
        <v>2295369483</v>
      </c>
    </row>
    <row r="449" spans="1:13">
      <c r="A449" s="7">
        <v>7</v>
      </c>
      <c r="B449" s="7">
        <v>56</v>
      </c>
      <c r="C449" s="7">
        <f>INDEX(Sheet2!$B$2:$B$65,$B449+1)</f>
        <v>1873313359</v>
      </c>
      <c r="D449" s="7">
        <f>INDEX(Sheet2!$C$2:$C$65,$B449+1)</f>
        <v>6</v>
      </c>
      <c r="E449" s="7">
        <f>INDEX(Sheet2!$D$2:$D$65,$B449+1)</f>
        <v>8</v>
      </c>
      <c r="F449" s="7">
        <f>INDEX(Sheet3!$AY$2:$BN$11,$A449,$E449+1)</f>
        <v>0</v>
      </c>
      <c r="G449" s="7">
        <f>IF($B449&lt;16,_xlfn.BITOR(_xlfn.BITAND($K448,$L448),_xlfn.BITAND(4294967295-$K448,$M448)),IF($B449&lt;32,_xlfn.BITOR(_xlfn.BITAND($M448,$K448),_xlfn.BITAND(4294967295-$M448,$L448)),IF($B449&lt;48,_xlfn.BITXOR(_xlfn.BITXOR($K448,$L448),$M448),_xlfn.BITXOR($L448,_xlfn.BITOR($K448,4294967295-$M448)))))</f>
        <v>3850419282</v>
      </c>
      <c r="H449" s="7">
        <f>MOD($G449+$J448+$C449+$F449,4294967296)</f>
        <v>1426873614</v>
      </c>
      <c r="I449" s="7">
        <f>MOD($H449,2^(32-$D449))*2^$D449+INT($H449/2^(32-$D449))</f>
        <v>1125598101</v>
      </c>
      <c r="J449" s="7">
        <f>$M448</f>
        <v>2295369483</v>
      </c>
      <c r="K449" s="7">
        <f>MOD($K448+$I449,4294967296)</f>
        <v>3884465822</v>
      </c>
      <c r="L449" s="7">
        <f>$K448</f>
        <v>2758867721</v>
      </c>
      <c r="M449" s="7">
        <f>$L448</f>
        <v>318719919</v>
      </c>
    </row>
    <row r="450" spans="1:13">
      <c r="A450" s="7">
        <v>7</v>
      </c>
      <c r="B450" s="7">
        <v>57</v>
      </c>
      <c r="C450" s="7">
        <f>INDEX(Sheet2!$B$2:$B$65,$B450+1)</f>
        <v>4264355552</v>
      </c>
      <c r="D450" s="7">
        <f>INDEX(Sheet2!$C$2:$C$65,$B450+1)</f>
        <v>10</v>
      </c>
      <c r="E450" s="7">
        <f>INDEX(Sheet2!$D$2:$D$65,$B450+1)</f>
        <v>15</v>
      </c>
      <c r="F450" s="7">
        <f>INDEX(Sheet3!$AY$2:$BN$11,$A450,$E450+1)</f>
        <v>0</v>
      </c>
      <c r="G450" s="7">
        <f>IF($B450&lt;16,_xlfn.BITOR(_xlfn.BITAND($K449,$L449),_xlfn.BITAND(4294967295-$K449,$M449)),IF($B450&lt;32,_xlfn.BITOR(_xlfn.BITAND($M449,$K449),_xlfn.BITAND(4294967295-$M449,$L449)),IF($B450&lt;48,_xlfn.BITXOR(_xlfn.BITXOR($K449,$L449),$M449),_xlfn.BITXOR($L449,_xlfn.BITOR($K449,4294967295-$M449)))))</f>
        <v>1274562007</v>
      </c>
      <c r="H450" s="7">
        <f>MOD($G450+$J449+$C450+$F450,4294967296)</f>
        <v>3539319746</v>
      </c>
      <c r="I450" s="7">
        <f>MOD($H450,2^(32-$D450))*2^$D450+INT($H450/2^(32-$D450))</f>
        <v>3605990219</v>
      </c>
      <c r="J450" s="7">
        <f>$M449</f>
        <v>318719919</v>
      </c>
      <c r="K450" s="7">
        <f>MOD($K449+$I450,4294967296)</f>
        <v>3195488745</v>
      </c>
      <c r="L450" s="7">
        <f>$K449</f>
        <v>3884465822</v>
      </c>
      <c r="M450" s="7">
        <f>$L449</f>
        <v>2758867721</v>
      </c>
    </row>
    <row r="451" spans="1:13">
      <c r="A451" s="7">
        <v>7</v>
      </c>
      <c r="B451" s="7">
        <v>58</v>
      </c>
      <c r="C451" s="7">
        <f>INDEX(Sheet2!$B$2:$B$65,$B451+1)</f>
        <v>2734768916</v>
      </c>
      <c r="D451" s="7">
        <f>INDEX(Sheet2!$C$2:$C$65,$B451+1)</f>
        <v>15</v>
      </c>
      <c r="E451" s="7">
        <f>INDEX(Sheet2!$D$2:$D$65,$B451+1)</f>
        <v>6</v>
      </c>
      <c r="F451" s="7">
        <f>INDEX(Sheet3!$AY$2:$BN$11,$A451,$E451+1)</f>
        <v>0</v>
      </c>
      <c r="G451" s="7">
        <f>IF($B451&lt;16,_xlfn.BITOR(_xlfn.BITAND($K450,$L450),_xlfn.BITAND(4294967295-$K450,$M450)),IF($B451&lt;32,_xlfn.BITOR(_xlfn.BITAND($M450,$K450),_xlfn.BITAND(4294967295-$M450,$L450)),IF($B451&lt;48,_xlfn.BITXOR(_xlfn.BITXOR($K450,$L450),$M450),_xlfn.BITXOR($L450,_xlfn.BITOR($K450,4294967295-$M450)))))</f>
        <v>410481505</v>
      </c>
      <c r="H451" s="7">
        <f>MOD($G451+$J450+$C451+$F451,4294967296)</f>
        <v>3463970340</v>
      </c>
      <c r="I451" s="7">
        <f>MOD($H451,2^(32-$D451))*2^$D451+INT($H451/2^(32-$D451))</f>
        <v>4279396155</v>
      </c>
      <c r="J451" s="7">
        <f>$M450</f>
        <v>2758867721</v>
      </c>
      <c r="K451" s="7">
        <f>MOD($K450+$I451,4294967296)</f>
        <v>3179917604</v>
      </c>
      <c r="L451" s="7">
        <f>$K450</f>
        <v>3195488745</v>
      </c>
      <c r="M451" s="7">
        <f>$L450</f>
        <v>3884465822</v>
      </c>
    </row>
    <row r="452" spans="1:13">
      <c r="A452" s="7">
        <v>7</v>
      </c>
      <c r="B452" s="7">
        <v>59</v>
      </c>
      <c r="C452" s="7">
        <f>INDEX(Sheet2!$B$2:$B$65,$B452+1)</f>
        <v>1309151649</v>
      </c>
      <c r="D452" s="7">
        <f>INDEX(Sheet2!$C$2:$C$65,$B452+1)</f>
        <v>21</v>
      </c>
      <c r="E452" s="7">
        <f>INDEX(Sheet2!$D$2:$D$65,$B452+1)</f>
        <v>13</v>
      </c>
      <c r="F452" s="7">
        <f>INDEX(Sheet3!$AY$2:$BN$11,$A452,$E452+1)</f>
        <v>0</v>
      </c>
      <c r="G452" s="7">
        <f>IF($B452&lt;16,_xlfn.BITOR(_xlfn.BITAND($K451,$L451),_xlfn.BITAND(4294967295-$K451,$M451)),IF($B452&lt;32,_xlfn.BITOR(_xlfn.BITAND($M451,$K451),_xlfn.BITAND(4294967295-$M451,$L451)),IF($B452&lt;48,_xlfn.BITXOR(_xlfn.BITXOR($K451,$L451),$M451),_xlfn.BITXOR($L451,_xlfn.BITOR($K451,4294967295-$M451)))))</f>
        <v>59291788</v>
      </c>
      <c r="H452" s="7">
        <f>MOD($G452+$J451+$C452+$F452,4294967296)</f>
        <v>4127311158</v>
      </c>
      <c r="I452" s="7">
        <f>MOD($H452,2^(32-$D452))*2^$D452+INT($H452/2^(32-$D452))</f>
        <v>2799616056</v>
      </c>
      <c r="J452" s="7">
        <f>$M451</f>
        <v>3884465822</v>
      </c>
      <c r="K452" s="7">
        <f>MOD($K451+$I452,4294967296)</f>
        <v>1684566364</v>
      </c>
      <c r="L452" s="7">
        <f>$K451</f>
        <v>3179917604</v>
      </c>
      <c r="M452" s="7">
        <f>$L451</f>
        <v>3195488745</v>
      </c>
    </row>
    <row r="453" spans="1:13">
      <c r="A453" s="7">
        <v>7</v>
      </c>
      <c r="B453" s="7">
        <v>60</v>
      </c>
      <c r="C453" s="7">
        <f>INDEX(Sheet2!$B$2:$B$65,$B453+1)</f>
        <v>4149444226</v>
      </c>
      <c r="D453" s="7">
        <f>INDEX(Sheet2!$C$2:$C$65,$B453+1)</f>
        <v>6</v>
      </c>
      <c r="E453" s="7">
        <f>INDEX(Sheet2!$D$2:$D$65,$B453+1)</f>
        <v>4</v>
      </c>
      <c r="F453" s="7">
        <f>INDEX(Sheet3!$AY$2:$BN$11,$A453,$E453+1)</f>
        <v>2151628607</v>
      </c>
      <c r="G453" s="7">
        <f>IF($B453&lt;16,_xlfn.BITOR(_xlfn.BITAND($K452,$L452),_xlfn.BITAND(4294967295-$K452,$M452)),IF($B453&lt;32,_xlfn.BITOR(_xlfn.BITAND($M452,$K452),_xlfn.BITAND(4294967295-$M452,$L452)),IF($B453&lt;48,_xlfn.BITXOR(_xlfn.BITXOR($K452,$L452),$M452),_xlfn.BITXOR($L452,_xlfn.BITOR($K452,4294967295-$M452)))))</f>
        <v>3630253690</v>
      </c>
      <c r="H453" s="7">
        <f>MOD($G453+$J452+$C453+$F453,4294967296)</f>
        <v>930890457</v>
      </c>
      <c r="I453" s="7">
        <f>MOD($H453,2^(32-$D453))*2^$D453+INT($H453/2^(32-$D453))</f>
        <v>3742414413</v>
      </c>
      <c r="J453" s="7">
        <f>$M452</f>
        <v>3195488745</v>
      </c>
      <c r="K453" s="7">
        <f>MOD($K452+$I453,4294967296)</f>
        <v>1132013481</v>
      </c>
      <c r="L453" s="7">
        <f>$K452</f>
        <v>1684566364</v>
      </c>
      <c r="M453" s="7">
        <f>$L452</f>
        <v>3179917604</v>
      </c>
    </row>
    <row r="454" spans="1:13">
      <c r="A454" s="7">
        <v>7</v>
      </c>
      <c r="B454" s="7">
        <v>61</v>
      </c>
      <c r="C454" s="7">
        <f>INDEX(Sheet2!$B$2:$B$65,$B454+1)</f>
        <v>3174756917</v>
      </c>
      <c r="D454" s="7">
        <f>INDEX(Sheet2!$C$2:$C$65,$B454+1)</f>
        <v>10</v>
      </c>
      <c r="E454" s="7">
        <f>INDEX(Sheet2!$D$2:$D$65,$B454+1)</f>
        <v>11</v>
      </c>
      <c r="F454" s="7">
        <f>INDEX(Sheet3!$AY$2:$BN$11,$A454,$E454+1)</f>
        <v>0</v>
      </c>
      <c r="G454" s="7">
        <f>IF($B454&lt;16,_xlfn.BITOR(_xlfn.BITAND($K453,$L453),_xlfn.BITAND(4294967295-$K453,$M453)),IF($B454&lt;32,_xlfn.BITOR(_xlfn.BITAND($M453,$K453),_xlfn.BITAND(4294967295-$M453,$L453)),IF($B454&lt;48,_xlfn.BITXOR(_xlfn.BITXOR($K453,$L453),$M453),_xlfn.BITXOR($L453,_xlfn.BITOR($K453,4294967295-$M453)))))</f>
        <v>655826599</v>
      </c>
      <c r="H454" s="7">
        <f>MOD($G454+$J453+$C454+$F454,4294967296)</f>
        <v>2731104965</v>
      </c>
      <c r="I454" s="7">
        <f>MOD($H454,2^(32-$D454))*2^$D454+INT($H454/2^(32-$D454))</f>
        <v>627775115</v>
      </c>
      <c r="J454" s="7">
        <f>$M453</f>
        <v>3179917604</v>
      </c>
      <c r="K454" s="7">
        <f>MOD($K453+$I454,4294967296)</f>
        <v>1759788596</v>
      </c>
      <c r="L454" s="7">
        <f>$K453</f>
        <v>1132013481</v>
      </c>
      <c r="M454" s="7">
        <f>$L453</f>
        <v>1684566364</v>
      </c>
    </row>
    <row r="455" spans="1:13">
      <c r="A455" s="7">
        <v>7</v>
      </c>
      <c r="B455" s="7">
        <v>62</v>
      </c>
      <c r="C455" s="7">
        <f>INDEX(Sheet2!$B$2:$B$65,$B455+1)</f>
        <v>718787259</v>
      </c>
      <c r="D455" s="7">
        <f>INDEX(Sheet2!$C$2:$C$65,$B455+1)</f>
        <v>15</v>
      </c>
      <c r="E455" s="7">
        <f>INDEX(Sheet2!$D$2:$D$65,$B455+1)</f>
        <v>2</v>
      </c>
      <c r="F455" s="7">
        <f>INDEX(Sheet3!$AY$2:$BN$11,$A455,$E455+1)</f>
        <v>1601792820</v>
      </c>
      <c r="G455" s="7">
        <f>IF($B455&lt;16,_xlfn.BITOR(_xlfn.BITAND($K454,$L454),_xlfn.BITAND(4294967295-$K454,$M454)),IF($B455&lt;32,_xlfn.BITOR(_xlfn.BITAND($M454,$K454),_xlfn.BITAND(4294967295-$M454,$L454)),IF($B455&lt;48,_xlfn.BITXOR(_xlfn.BITXOR($K454,$L454),$M454),_xlfn.BITXOR($L454,_xlfn.BITOR($K454,4294967295-$M454)))))</f>
        <v>3096353054</v>
      </c>
      <c r="H455" s="7">
        <f>MOD($G455+$J454+$C455+$F455,4294967296)</f>
        <v>6916145</v>
      </c>
      <c r="I455" s="7">
        <f>MOD($H455,2^(32-$D455))*2^$D455+INT($H455/2^(32-$D455))</f>
        <v>3289940020</v>
      </c>
      <c r="J455" s="7">
        <f>$M454</f>
        <v>1684566364</v>
      </c>
      <c r="K455" s="7">
        <f>MOD($K454+$I455,4294967296)</f>
        <v>754761320</v>
      </c>
      <c r="L455" s="7">
        <f>$K454</f>
        <v>1759788596</v>
      </c>
      <c r="M455" s="7">
        <f>$L454</f>
        <v>1132013481</v>
      </c>
    </row>
    <row r="456" spans="1:13">
      <c r="A456" s="7">
        <v>7</v>
      </c>
      <c r="B456" s="7">
        <v>63</v>
      </c>
      <c r="C456" s="7">
        <f>INDEX(Sheet2!$B$2:$B$65,$B456+1)</f>
        <v>3951481745</v>
      </c>
      <c r="D456" s="7">
        <f>INDEX(Sheet2!$C$2:$C$65,$B456+1)</f>
        <v>21</v>
      </c>
      <c r="E456" s="7">
        <f>INDEX(Sheet2!$D$2:$D$65,$B456+1)</f>
        <v>9</v>
      </c>
      <c r="F456" s="7">
        <f>INDEX(Sheet3!$AY$2:$BN$11,$A456,$E456+1)</f>
        <v>0</v>
      </c>
      <c r="G456" s="7">
        <f>IF($B456&lt;16,_xlfn.BITOR(_xlfn.BITAND($K455,$L455),_xlfn.BITAND(4294967295-$K455,$M455)),IF($B456&lt;32,_xlfn.BITOR(_xlfn.BITAND($M455,$K455),_xlfn.BITAND(4294967295-$M455,$L455)),IF($B456&lt;48,_xlfn.BITXOR(_xlfn.BITXOR($K455,$L455),$M455),_xlfn.BITXOR($L455,_xlfn.BITOR($K455,4294967295-$M455)))))</f>
        <v>3558522954</v>
      </c>
      <c r="H456" s="7">
        <f>MOD($G456+$J455+$C456+$F456,4294967296)</f>
        <v>604636471</v>
      </c>
      <c r="I456" s="7">
        <f>MOD($H456,2^(32-$D456))*2^$D456+INT($H456/2^(32-$D456))</f>
        <v>2799993152</v>
      </c>
      <c r="J456" s="7">
        <f>$M455</f>
        <v>1132013481</v>
      </c>
      <c r="K456" s="7">
        <f>MOD($K455+$I456,4294967296)</f>
        <v>3554754472</v>
      </c>
      <c r="L456" s="7">
        <f>$K455</f>
        <v>754761320</v>
      </c>
      <c r="M456" s="7">
        <f>$L455</f>
        <v>1759788596</v>
      </c>
    </row>
    <row r="457" spans="1:13">
      <c r="A457" s="8">
        <v>8</v>
      </c>
      <c r="B457" s="8">
        <v>-1</v>
      </c>
      <c r="J457" s="8">
        <v>1732584193</v>
      </c>
      <c r="K457" s="8">
        <v>4023233417</v>
      </c>
      <c r="L457" s="8">
        <v>2562383102</v>
      </c>
      <c r="M457" s="8">
        <v>271733878</v>
      </c>
    </row>
    <row r="458" spans="1:13">
      <c r="A458" s="7">
        <v>8</v>
      </c>
      <c r="B458" s="7">
        <v>0</v>
      </c>
      <c r="C458" s="7">
        <f>INDEX(Sheet2!$B$2:$B$65,$B458+1)</f>
        <v>3614090360</v>
      </c>
      <c r="D458" s="7">
        <f>INDEX(Sheet2!$C$2:$C$65,$B458+1)</f>
        <v>7</v>
      </c>
      <c r="E458" s="7">
        <f>INDEX(Sheet2!$D$2:$D$65,$B458+1)</f>
        <v>0</v>
      </c>
      <c r="F458" s="7">
        <f>INDEX(Sheet3!$AY$2:$BN$11,$A458,$E458+1)</f>
        <v>1701654643</v>
      </c>
      <c r="G458" s="7">
        <f>IF($B458&lt;16,_xlfn.BITOR(_xlfn.BITAND($K457,$L457),_xlfn.BITAND(4294967295-$K457,$M457)),IF($B458&lt;32,_xlfn.BITOR(_xlfn.BITAND($M457,$K457),_xlfn.BITAND(4294967295-$M457,$L457)),IF($B458&lt;48,_xlfn.BITXOR(_xlfn.BITXOR($K457,$L457),$M457),_xlfn.BITXOR($L457,_xlfn.BITOR($K457,4294967295-$M457)))))</f>
        <v>2562383102</v>
      </c>
      <c r="H458" s="7">
        <f>MOD($G458+$J457+$C458+$F458,4294967296)</f>
        <v>1020777706</v>
      </c>
      <c r="I458" s="7">
        <f>MOD($H458,2^(32-$D458))*2^$D458+INT($H458/2^(32-$D458))</f>
        <v>1810527518</v>
      </c>
      <c r="J458" s="7">
        <f>$M457</f>
        <v>271733878</v>
      </c>
      <c r="K458" s="7">
        <f>MOD($K457+$I458,4294967296)</f>
        <v>1538793639</v>
      </c>
      <c r="L458" s="7">
        <f>$K457</f>
        <v>4023233417</v>
      </c>
      <c r="M458" s="7">
        <f>$L457</f>
        <v>2562383102</v>
      </c>
    </row>
    <row r="459" spans="1:13">
      <c r="A459" s="7">
        <v>8</v>
      </c>
      <c r="B459" s="7">
        <v>1</v>
      </c>
      <c r="C459" s="7">
        <f>INDEX(Sheet2!$B$2:$B$65,$B459+1)</f>
        <v>3905402710</v>
      </c>
      <c r="D459" s="7">
        <f>INDEX(Sheet2!$C$2:$C$65,$B459+1)</f>
        <v>12</v>
      </c>
      <c r="E459" s="7">
        <f>INDEX(Sheet2!$D$2:$D$65,$B459+1)</f>
        <v>1</v>
      </c>
      <c r="F459" s="7">
        <f>INDEX(Sheet3!$AY$2:$BN$11,$A459,$E459+1)</f>
        <v>862876511</v>
      </c>
      <c r="G459" s="7">
        <f>IF($B459&lt;16,_xlfn.BITOR(_xlfn.BITAND($K458,$L458),_xlfn.BITAND(4294967295-$K458,$M458)),IF($B459&lt;32,_xlfn.BITOR(_xlfn.BITAND($M458,$K458),_xlfn.BITAND(4294967295-$M458,$L458)),IF($B459&lt;48,_xlfn.BITXOR(_xlfn.BITXOR($K458,$L458),$M458),_xlfn.BITXOR($L458,_xlfn.BITOR($K458,4294967295-$M458)))))</f>
        <v>3414883545</v>
      </c>
      <c r="H459" s="7">
        <f>MOD($G459+$J458+$C459+$F459,4294967296)</f>
        <v>4159929348</v>
      </c>
      <c r="I459" s="7">
        <f>MOD($H459,2^(32-$D459))*2^$D459+INT($H459/2^(32-$D459))</f>
        <v>935350143</v>
      </c>
      <c r="J459" s="7">
        <f>$M458</f>
        <v>2562383102</v>
      </c>
      <c r="K459" s="7">
        <f>MOD($K458+$I459,4294967296)</f>
        <v>2474143782</v>
      </c>
      <c r="L459" s="7">
        <f>$K458</f>
        <v>1538793639</v>
      </c>
      <c r="M459" s="7">
        <f>$L458</f>
        <v>4023233417</v>
      </c>
    </row>
    <row r="460" spans="1:13">
      <c r="A460" s="7">
        <v>8</v>
      </c>
      <c r="B460" s="7">
        <v>2</v>
      </c>
      <c r="C460" s="7">
        <f>INDEX(Sheet2!$B$2:$B$65,$B460+1)</f>
        <v>606105819</v>
      </c>
      <c r="D460" s="7">
        <f>INDEX(Sheet2!$C$2:$C$65,$B460+1)</f>
        <v>17</v>
      </c>
      <c r="E460" s="7">
        <f>INDEX(Sheet2!$D$2:$D$65,$B460+1)</f>
        <v>2</v>
      </c>
      <c r="F460" s="7">
        <f>INDEX(Sheet3!$AY$2:$BN$11,$A460,$E460+1)</f>
        <v>1601792820</v>
      </c>
      <c r="G460" s="7">
        <f>IF($B460&lt;16,_xlfn.BITOR(_xlfn.BITAND($K459,$L459),_xlfn.BITAND(4294967295-$K459,$M459)),IF($B460&lt;32,_xlfn.BITOR(_xlfn.BITAND($M459,$K459),_xlfn.BITAND(4294967295-$M459,$L459)),IF($B460&lt;48,_xlfn.BITXOR(_xlfn.BITXOR($K459,$L459),$M459),_xlfn.BITXOR($L459,_xlfn.BITOR($K459,4294967295-$M459)))))</f>
        <v>2143136687</v>
      </c>
      <c r="H460" s="7">
        <f>MOD($G460+$J459+$C460+$F460,4294967296)</f>
        <v>2618451132</v>
      </c>
      <c r="I460" s="7">
        <f>MOD($H460,2^(32-$D460))*2^$D460+INT($H460/2^(32-$D460))</f>
        <v>3380164644</v>
      </c>
      <c r="J460" s="7">
        <f>$M459</f>
        <v>4023233417</v>
      </c>
      <c r="K460" s="7">
        <f>MOD($K459+$I460,4294967296)</f>
        <v>1559341130</v>
      </c>
      <c r="L460" s="7">
        <f>$K459</f>
        <v>2474143782</v>
      </c>
      <c r="M460" s="7">
        <f>$L459</f>
        <v>1538793639</v>
      </c>
    </row>
    <row r="461" spans="1:13">
      <c r="A461" s="7">
        <v>8</v>
      </c>
      <c r="B461" s="7">
        <v>3</v>
      </c>
      <c r="C461" s="7">
        <f>INDEX(Sheet2!$B$2:$B$65,$B461+1)</f>
        <v>3250441966</v>
      </c>
      <c r="D461" s="7">
        <f>INDEX(Sheet2!$C$2:$C$65,$B461+1)</f>
        <v>22</v>
      </c>
      <c r="E461" s="7">
        <f>INDEX(Sheet2!$D$2:$D$65,$B461+1)</f>
        <v>3</v>
      </c>
      <c r="F461" s="7">
        <f>INDEX(Sheet3!$AY$2:$BN$11,$A461,$E461+1)</f>
        <v>1953248371</v>
      </c>
      <c r="G461" s="7">
        <f>IF($B461&lt;16,_xlfn.BITOR(_xlfn.BITAND($K460,$L460),_xlfn.BITAND(4294967295-$K460,$M460)),IF($B461&lt;32,_xlfn.BITOR(_xlfn.BITAND($M460,$K460),_xlfn.BITAND(4294967295-$M460,$L460)),IF($B461&lt;48,_xlfn.BITXOR(_xlfn.BITXOR($K460,$L460),$M460),_xlfn.BITXOR($L460,_xlfn.BITOR($K460,4294967295-$M460)))))</f>
        <v>326639783</v>
      </c>
      <c r="H461" s="7">
        <f>MOD($G461+$J460+$C461+$F461,4294967296)</f>
        <v>963628945</v>
      </c>
      <c r="I461" s="7">
        <f>MOD($H461,2^(32-$D461))*2^$D461+INT($H461/2^(32-$D461))</f>
        <v>3830340595</v>
      </c>
      <c r="J461" s="7">
        <f>$M460</f>
        <v>1538793639</v>
      </c>
      <c r="K461" s="7">
        <f>MOD($K460+$I461,4294967296)</f>
        <v>1094714429</v>
      </c>
      <c r="L461" s="7">
        <f>$K460</f>
        <v>1559341130</v>
      </c>
      <c r="M461" s="7">
        <f>$L460</f>
        <v>2474143782</v>
      </c>
    </row>
    <row r="462" spans="1:13">
      <c r="A462" s="7">
        <v>8</v>
      </c>
      <c r="B462" s="7">
        <v>4</v>
      </c>
      <c r="C462" s="7">
        <f>INDEX(Sheet2!$B$2:$B$65,$B462+1)</f>
        <v>4118548399</v>
      </c>
      <c r="D462" s="7">
        <f>INDEX(Sheet2!$C$2:$C$65,$B462+1)</f>
        <v>7</v>
      </c>
      <c r="E462" s="7">
        <f>INDEX(Sheet2!$D$2:$D$65,$B462+1)</f>
        <v>4</v>
      </c>
      <c r="F462" s="7">
        <f>INDEX(Sheet3!$AY$2:$BN$11,$A462,$E462+1)</f>
        <v>2151628607</v>
      </c>
      <c r="G462" s="7">
        <f>IF($B462&lt;16,_xlfn.BITOR(_xlfn.BITAND($K461,$L461),_xlfn.BITAND(4294967295-$K461,$M461)),IF($B462&lt;32,_xlfn.BITOR(_xlfn.BITAND($M461,$K461),_xlfn.BITAND(4294967295-$M461,$L461)),IF($B462&lt;48,_xlfn.BITXOR(_xlfn.BITXOR($K461,$L461),$M461),_xlfn.BITXOR($L461,_xlfn.BITOR($K461,4294967295-$M461)))))</f>
        <v>3531108362</v>
      </c>
      <c r="H462" s="7">
        <f>MOD($G462+$J461+$C462+$F462,4294967296)</f>
        <v>2750144415</v>
      </c>
      <c r="I462" s="7">
        <f>MOD($H462,2^(32-$D462))*2^$D462+INT($H462/2^(32-$D462))</f>
        <v>4126134225</v>
      </c>
      <c r="J462" s="7">
        <f>$M461</f>
        <v>2474143782</v>
      </c>
      <c r="K462" s="7">
        <f>MOD($K461+$I462,4294967296)</f>
        <v>925881358</v>
      </c>
      <c r="L462" s="7">
        <f>$K461</f>
        <v>1094714429</v>
      </c>
      <c r="M462" s="7">
        <f>$L461</f>
        <v>1559341130</v>
      </c>
    </row>
    <row r="463" spans="1:13">
      <c r="A463" s="7">
        <v>8</v>
      </c>
      <c r="B463" s="7">
        <v>5</v>
      </c>
      <c r="C463" s="7">
        <f>INDEX(Sheet2!$B$2:$B$65,$B463+1)</f>
        <v>1200080426</v>
      </c>
      <c r="D463" s="7">
        <f>INDEX(Sheet2!$C$2:$C$65,$B463+1)</f>
        <v>12</v>
      </c>
      <c r="E463" s="7">
        <f>INDEX(Sheet2!$D$2:$D$65,$B463+1)</f>
        <v>5</v>
      </c>
      <c r="F463" s="7">
        <f>INDEX(Sheet3!$AY$2:$BN$11,$A463,$E463+1)</f>
        <v>0</v>
      </c>
      <c r="G463" s="7">
        <f>IF($B463&lt;16,_xlfn.BITOR(_xlfn.BITAND($K462,$L462),_xlfn.BITAND(4294967295-$K462,$M462)),IF($B463&lt;32,_xlfn.BITOR(_xlfn.BITAND($M462,$K462),_xlfn.BITAND(4294967295-$M462,$L462)),IF($B463&lt;48,_xlfn.BITXOR(_xlfn.BITXOR($K462,$L462),$M462),_xlfn.BITXOR($L462,_xlfn.BITOR($K462,4294967295-$M462)))))</f>
        <v>1238379596</v>
      </c>
      <c r="H463" s="7">
        <f>MOD($G463+$J462+$C463+$F463,4294967296)</f>
        <v>617636508</v>
      </c>
      <c r="I463" s="7">
        <f>MOD($H463,2^(32-$D463))*2^$D463+INT($H463/2^(32-$D463))</f>
        <v>103400013</v>
      </c>
      <c r="J463" s="7">
        <f>$M462</f>
        <v>1559341130</v>
      </c>
      <c r="K463" s="7">
        <f>MOD($K462+$I463,4294967296)</f>
        <v>1029281371</v>
      </c>
      <c r="L463" s="7">
        <f>$K462</f>
        <v>925881358</v>
      </c>
      <c r="M463" s="7">
        <f>$L462</f>
        <v>1094714429</v>
      </c>
    </row>
    <row r="464" spans="1:13">
      <c r="A464" s="7">
        <v>8</v>
      </c>
      <c r="B464" s="7">
        <v>6</v>
      </c>
      <c r="C464" s="7">
        <f>INDEX(Sheet2!$B$2:$B$65,$B464+1)</f>
        <v>2821735955</v>
      </c>
      <c r="D464" s="7">
        <f>INDEX(Sheet2!$C$2:$C$65,$B464+1)</f>
        <v>17</v>
      </c>
      <c r="E464" s="7">
        <f>INDEX(Sheet2!$D$2:$D$65,$B464+1)</f>
        <v>6</v>
      </c>
      <c r="F464" s="7">
        <f>INDEX(Sheet3!$AY$2:$BN$11,$A464,$E464+1)</f>
        <v>0</v>
      </c>
      <c r="G464" s="7">
        <f>IF($B464&lt;16,_xlfn.BITOR(_xlfn.BITAND($K463,$L463),_xlfn.BITAND(4294967295-$K463,$M463)),IF($B464&lt;32,_xlfn.BITOR(_xlfn.BITAND($M463,$K463),_xlfn.BITAND(4294967295-$M463,$L463)),IF($B464&lt;48,_xlfn.BITXOR(_xlfn.BITXOR($K463,$L463),$M463),_xlfn.BITXOR($L463,_xlfn.BITOR($K463,4294967295-$M463)))))</f>
        <v>1963562030</v>
      </c>
      <c r="H464" s="7">
        <f>MOD($G464+$J463+$C464+$F464,4294967296)</f>
        <v>2049671819</v>
      </c>
      <c r="I464" s="7">
        <f>MOD($H464,2^(32-$D464))*2^$D464+INT($H464/2^(32-$D464))</f>
        <v>85390423</v>
      </c>
      <c r="J464" s="7">
        <f>$M463</f>
        <v>1094714429</v>
      </c>
      <c r="K464" s="7">
        <f>MOD($K463+$I464,4294967296)</f>
        <v>1114671794</v>
      </c>
      <c r="L464" s="7">
        <f>$K463</f>
        <v>1029281371</v>
      </c>
      <c r="M464" s="7">
        <f>$L463</f>
        <v>925881358</v>
      </c>
    </row>
    <row r="465" spans="1:13">
      <c r="A465" s="7">
        <v>8</v>
      </c>
      <c r="B465" s="7">
        <v>7</v>
      </c>
      <c r="C465" s="7">
        <f>INDEX(Sheet2!$B$2:$B$65,$B465+1)</f>
        <v>4249261313</v>
      </c>
      <c r="D465" s="7">
        <f>INDEX(Sheet2!$C$2:$C$65,$B465+1)</f>
        <v>22</v>
      </c>
      <c r="E465" s="7">
        <f>INDEX(Sheet2!$D$2:$D$65,$B465+1)</f>
        <v>7</v>
      </c>
      <c r="F465" s="7">
        <f>INDEX(Sheet3!$AY$2:$BN$11,$A465,$E465+1)</f>
        <v>0</v>
      </c>
      <c r="G465" s="7">
        <f>IF($B465&lt;16,_xlfn.BITOR(_xlfn.BITAND($K464,$L464),_xlfn.BITAND(4294967295-$K464,$M464)),IF($B465&lt;32,_xlfn.BITOR(_xlfn.BITAND($M464,$K464),_xlfn.BITAND(4294967295-$M464,$L464)),IF($B465&lt;48,_xlfn.BITXOR(_xlfn.BITXOR($K464,$L464),$M464),_xlfn.BITXOR($L464,_xlfn.BITOR($K464,4294967295-$M464)))))</f>
        <v>895473182</v>
      </c>
      <c r="H465" s="7">
        <f>MOD($G465+$J464+$C465+$F465,4294967296)</f>
        <v>1944481628</v>
      </c>
      <c r="I465" s="7">
        <f>MOD($H465,2^(32-$D465))*2^$D465+INT($H465/2^(32-$D465))</f>
        <v>3609000347</v>
      </c>
      <c r="J465" s="7">
        <f>$M464</f>
        <v>925881358</v>
      </c>
      <c r="K465" s="7">
        <f>MOD($K464+$I465,4294967296)</f>
        <v>428704845</v>
      </c>
      <c r="L465" s="7">
        <f>$K464</f>
        <v>1114671794</v>
      </c>
      <c r="M465" s="7">
        <f>$L464</f>
        <v>1029281371</v>
      </c>
    </row>
    <row r="466" spans="1:13">
      <c r="A466" s="7">
        <v>8</v>
      </c>
      <c r="B466" s="7">
        <v>8</v>
      </c>
      <c r="C466" s="7">
        <f>INDEX(Sheet2!$B$2:$B$65,$B466+1)</f>
        <v>1770035416</v>
      </c>
      <c r="D466" s="7">
        <f>INDEX(Sheet2!$C$2:$C$65,$B466+1)</f>
        <v>7</v>
      </c>
      <c r="E466" s="7">
        <f>INDEX(Sheet2!$D$2:$D$65,$B466+1)</f>
        <v>8</v>
      </c>
      <c r="F466" s="7">
        <f>INDEX(Sheet3!$AY$2:$BN$11,$A466,$E466+1)</f>
        <v>0</v>
      </c>
      <c r="G466" s="7">
        <f>IF($B466&lt;16,_xlfn.BITOR(_xlfn.BITAND($K465,$L465),_xlfn.BITAND(4294967295-$K465,$M465)),IF($B466&lt;32,_xlfn.BITOR(_xlfn.BITAND($M465,$K465),_xlfn.BITAND(4294967295-$M465,$L465)),IF($B466&lt;48,_xlfn.BITXOR(_xlfn.BITXOR($K465,$L465),$M465),_xlfn.BITXOR($L465,_xlfn.BITOR($K465,4294967295-$M465)))))</f>
        <v>609260050</v>
      </c>
      <c r="H466" s="7">
        <f>MOD($G466+$J465+$C466+$F466,4294967296)</f>
        <v>3305176824</v>
      </c>
      <c r="I466" s="7">
        <f>MOD($H466,2^(32-$D466))*2^$D466+INT($H466/2^(32-$D466))</f>
        <v>2155838562</v>
      </c>
      <c r="J466" s="7">
        <f>$M465</f>
        <v>1029281371</v>
      </c>
      <c r="K466" s="7">
        <f>MOD($K465+$I466,4294967296)</f>
        <v>2584543407</v>
      </c>
      <c r="L466" s="7">
        <f>$K465</f>
        <v>428704845</v>
      </c>
      <c r="M466" s="7">
        <f>$L465</f>
        <v>1114671794</v>
      </c>
    </row>
    <row r="467" spans="1:13">
      <c r="A467" s="7">
        <v>8</v>
      </c>
      <c r="B467" s="7">
        <v>9</v>
      </c>
      <c r="C467" s="7">
        <f>INDEX(Sheet2!$B$2:$B$65,$B467+1)</f>
        <v>2336552879</v>
      </c>
      <c r="D467" s="7">
        <f>INDEX(Sheet2!$C$2:$C$65,$B467+1)</f>
        <v>12</v>
      </c>
      <c r="E467" s="7">
        <f>INDEX(Sheet2!$D$2:$D$65,$B467+1)</f>
        <v>9</v>
      </c>
      <c r="F467" s="7">
        <f>INDEX(Sheet3!$AY$2:$BN$11,$A467,$E467+1)</f>
        <v>0</v>
      </c>
      <c r="G467" s="7">
        <f>IF($B467&lt;16,_xlfn.BITOR(_xlfn.BITAND($K466,$L466),_xlfn.BITAND(4294967295-$K466,$M466)),IF($B467&lt;32,_xlfn.BITOR(_xlfn.BITAND($M466,$K466),_xlfn.BITAND(4294967295-$M466,$L466)),IF($B467&lt;48,_xlfn.BITXOR(_xlfn.BITXOR($K466,$L466),$M466),_xlfn.BITXOR($L466,_xlfn.BITOR($K466,4294967295-$M466)))))</f>
        <v>1484622365</v>
      </c>
      <c r="H467" s="7">
        <f>MOD($G467+$J466+$C467+$F467,4294967296)</f>
        <v>555489319</v>
      </c>
      <c r="I467" s="7">
        <f>MOD($H467,2^(32-$D467))*2^$D467+INT($H467/2^(32-$D467))</f>
        <v>3246551569</v>
      </c>
      <c r="J467" s="7">
        <f>$M466</f>
        <v>1114671794</v>
      </c>
      <c r="K467" s="7">
        <f>MOD($K466+$I467,4294967296)</f>
        <v>1536127680</v>
      </c>
      <c r="L467" s="7">
        <f>$K466</f>
        <v>2584543407</v>
      </c>
      <c r="M467" s="7">
        <f>$L466</f>
        <v>428704845</v>
      </c>
    </row>
    <row r="468" spans="1:13">
      <c r="A468" s="7">
        <v>8</v>
      </c>
      <c r="B468" s="7">
        <v>10</v>
      </c>
      <c r="C468" s="7">
        <f>INDEX(Sheet2!$B$2:$B$65,$B468+1)</f>
        <v>4294925233</v>
      </c>
      <c r="D468" s="7">
        <f>INDEX(Sheet2!$C$2:$C$65,$B468+1)</f>
        <v>17</v>
      </c>
      <c r="E468" s="7">
        <f>INDEX(Sheet2!$D$2:$D$65,$B468+1)</f>
        <v>10</v>
      </c>
      <c r="F468" s="7">
        <f>INDEX(Sheet3!$AY$2:$BN$11,$A468,$E468+1)</f>
        <v>0</v>
      </c>
      <c r="G468" s="7">
        <f>IF($B468&lt;16,_xlfn.BITOR(_xlfn.BITAND($K467,$L467),_xlfn.BITAND(4294967295-$K467,$M467)),IF($B468&lt;32,_xlfn.BITOR(_xlfn.BITAND($M467,$K467),_xlfn.BITAND(4294967295-$M467,$L467)),IF($B468&lt;48,_xlfn.BITXOR(_xlfn.BITXOR($K467,$L467),$M467),_xlfn.BITXOR($L467,_xlfn.BITOR($K467,4294967295-$M467)))))</f>
        <v>437093517</v>
      </c>
      <c r="H468" s="7">
        <f>MOD($G468+$J467+$C468+$F468,4294967296)</f>
        <v>1551723248</v>
      </c>
      <c r="I468" s="7">
        <f>MOD($H468,2^(32-$D468))*2^$D468+INT($H468/2^(32-$D468))</f>
        <v>3588274426</v>
      </c>
      <c r="J468" s="7">
        <f>$M467</f>
        <v>428704845</v>
      </c>
      <c r="K468" s="7">
        <f>MOD($K467+$I468,4294967296)</f>
        <v>829434810</v>
      </c>
      <c r="L468" s="7">
        <f>$K467</f>
        <v>1536127680</v>
      </c>
      <c r="M468" s="7">
        <f>$L467</f>
        <v>2584543407</v>
      </c>
    </row>
    <row r="469" spans="1:13">
      <c r="A469" s="7">
        <v>8</v>
      </c>
      <c r="B469" s="7">
        <v>11</v>
      </c>
      <c r="C469" s="7">
        <f>INDEX(Sheet2!$B$2:$B$65,$B469+1)</f>
        <v>2304563134</v>
      </c>
      <c r="D469" s="7">
        <f>INDEX(Sheet2!$C$2:$C$65,$B469+1)</f>
        <v>22</v>
      </c>
      <c r="E469" s="7">
        <f>INDEX(Sheet2!$D$2:$D$65,$B469+1)</f>
        <v>11</v>
      </c>
      <c r="F469" s="7">
        <f>INDEX(Sheet3!$AY$2:$BN$11,$A469,$E469+1)</f>
        <v>0</v>
      </c>
      <c r="G469" s="7">
        <f>IF($B469&lt;16,_xlfn.BITOR(_xlfn.BITAND($K468,$L468),_xlfn.BITAND(4294967295-$K468,$M468)),IF($B469&lt;32,_xlfn.BITOR(_xlfn.BITAND($M468,$K468),_xlfn.BITAND(4294967295-$M468,$L468)),IF($B469&lt;48,_xlfn.BITXOR(_xlfn.BITXOR($K468,$L468),$M468),_xlfn.BITXOR($L468,_xlfn.BITOR($K468,4294967295-$M468)))))</f>
        <v>2601329285</v>
      </c>
      <c r="H469" s="7">
        <f>MOD($G469+$J468+$C469+$F469,4294967296)</f>
        <v>1039629968</v>
      </c>
      <c r="I469" s="7">
        <f>MOD($H469,2^(32-$D469))*2^$D469+INT($H469/2^(32-$D469))</f>
        <v>2752478687</v>
      </c>
      <c r="J469" s="7">
        <f>$M468</f>
        <v>2584543407</v>
      </c>
      <c r="K469" s="7">
        <f>MOD($K468+$I469,4294967296)</f>
        <v>3581913497</v>
      </c>
      <c r="L469" s="7">
        <f>$K468</f>
        <v>829434810</v>
      </c>
      <c r="M469" s="7">
        <f>$L468</f>
        <v>1536127680</v>
      </c>
    </row>
    <row r="470" spans="1:13">
      <c r="A470" s="7">
        <v>8</v>
      </c>
      <c r="B470" s="7">
        <v>12</v>
      </c>
      <c r="C470" s="7">
        <f>INDEX(Sheet2!$B$2:$B$65,$B470+1)</f>
        <v>1804603682</v>
      </c>
      <c r="D470" s="7">
        <f>INDEX(Sheet2!$C$2:$C$65,$B470+1)</f>
        <v>7</v>
      </c>
      <c r="E470" s="7">
        <f>INDEX(Sheet2!$D$2:$D$65,$B470+1)</f>
        <v>12</v>
      </c>
      <c r="F470" s="7">
        <f>INDEX(Sheet3!$AY$2:$BN$11,$A470,$E470+1)</f>
        <v>0</v>
      </c>
      <c r="G470" s="7">
        <f>IF($B470&lt;16,_xlfn.BITOR(_xlfn.BITAND($K469,$L469),_xlfn.BITAND(4294967295-$K469,$M469)),IF($B470&lt;32,_xlfn.BITOR(_xlfn.BITAND($M469,$K469),_xlfn.BITAND(4294967295-$M469,$L469)),IF($B470&lt;48,_xlfn.BITXOR(_xlfn.BITXOR($K469,$L469),$M469),_xlfn.BITXOR($L469,_xlfn.BITOR($K469,4294967295-$M469)))))</f>
        <v>468745176</v>
      </c>
      <c r="H470" s="7">
        <f>MOD($G470+$J469+$C470+$F470,4294967296)</f>
        <v>562924969</v>
      </c>
      <c r="I470" s="7">
        <f>MOD($H470,2^(32-$D470))*2^$D470+INT($H470/2^(32-$D470))</f>
        <v>3334919312</v>
      </c>
      <c r="J470" s="7">
        <f>$M469</f>
        <v>1536127680</v>
      </c>
      <c r="K470" s="7">
        <f>MOD($K469+$I470,4294967296)</f>
        <v>2621865513</v>
      </c>
      <c r="L470" s="7">
        <f>$K469</f>
        <v>3581913497</v>
      </c>
      <c r="M470" s="7">
        <f>$L469</f>
        <v>829434810</v>
      </c>
    </row>
    <row r="471" spans="1:13">
      <c r="A471" s="7">
        <v>8</v>
      </c>
      <c r="B471" s="7">
        <v>13</v>
      </c>
      <c r="C471" s="7">
        <f>INDEX(Sheet2!$B$2:$B$65,$B471+1)</f>
        <v>4254626195</v>
      </c>
      <c r="D471" s="7">
        <f>INDEX(Sheet2!$C$2:$C$65,$B471+1)</f>
        <v>12</v>
      </c>
      <c r="E471" s="7">
        <f>INDEX(Sheet2!$D$2:$D$65,$B471+1)</f>
        <v>13</v>
      </c>
      <c r="F471" s="7">
        <f>INDEX(Sheet3!$AY$2:$BN$11,$A471,$E471+1)</f>
        <v>0</v>
      </c>
      <c r="G471" s="7">
        <f>IF($B471&lt;16,_xlfn.BITOR(_xlfn.BITAND($K470,$L470),_xlfn.BITAND(4294967295-$K470,$M470)),IF($B471&lt;32,_xlfn.BITOR(_xlfn.BITAND($M470,$K470),_xlfn.BITAND(4294967295-$M470,$L470)),IF($B471&lt;48,_xlfn.BITXOR(_xlfn.BITXOR($K470,$L470),$M470),_xlfn.BITXOR($L470,_xlfn.BITOR($K470,4294967295-$M470)))))</f>
        <v>3044419995</v>
      </c>
      <c r="H471" s="7">
        <f>MOD($G471+$J470+$C471+$F471,4294967296)</f>
        <v>245239278</v>
      </c>
      <c r="I471" s="7">
        <f>MOD($H471,2^(32-$D471))*2^$D471+INT($H471/2^(32-$D471))</f>
        <v>3772702953</v>
      </c>
      <c r="J471" s="7">
        <f>$M470</f>
        <v>829434810</v>
      </c>
      <c r="K471" s="7">
        <f>MOD($K470+$I471,4294967296)</f>
        <v>2099601170</v>
      </c>
      <c r="L471" s="7">
        <f>$K470</f>
        <v>2621865513</v>
      </c>
      <c r="M471" s="7">
        <f>$L470</f>
        <v>3581913497</v>
      </c>
    </row>
    <row r="472" spans="1:13">
      <c r="A472" s="7">
        <v>8</v>
      </c>
      <c r="B472" s="7">
        <v>14</v>
      </c>
      <c r="C472" s="7">
        <f>INDEX(Sheet2!$B$2:$B$65,$B472+1)</f>
        <v>2792965006</v>
      </c>
      <c r="D472" s="7">
        <f>INDEX(Sheet2!$C$2:$C$65,$B472+1)</f>
        <v>17</v>
      </c>
      <c r="E472" s="7">
        <f>INDEX(Sheet2!$D$2:$D$65,$B472+1)</f>
        <v>14</v>
      </c>
      <c r="F472" s="7">
        <f>INDEX(Sheet3!$AY$2:$BN$11,$A472,$E472+1)</f>
        <v>152</v>
      </c>
      <c r="G472" s="7">
        <f>IF($B472&lt;16,_xlfn.BITOR(_xlfn.BITAND($K471,$L471),_xlfn.BITAND(4294967295-$K471,$M471)),IF($B472&lt;32,_xlfn.BITOR(_xlfn.BITAND($M471,$K471),_xlfn.BITAND(4294967295-$M471,$L471)),IF($B472&lt;48,_xlfn.BITXOR(_xlfn.BITXOR($K471,$L471),$M471),_xlfn.BITXOR($L471,_xlfn.BITOR($K471,4294967295-$M471)))))</f>
        <v>2623471241</v>
      </c>
      <c r="H472" s="7">
        <f>MOD($G472+$J471+$C472+$F472,4294967296)</f>
        <v>1950903913</v>
      </c>
      <c r="I472" s="7">
        <f>MOD($H472,2^(32-$D472))*2^$D472+INT($H472/2^(32-$D472))</f>
        <v>3704809616</v>
      </c>
      <c r="J472" s="7">
        <f>$M471</f>
        <v>3581913497</v>
      </c>
      <c r="K472" s="7">
        <f>MOD($K471+$I472,4294967296)</f>
        <v>1509443490</v>
      </c>
      <c r="L472" s="7">
        <f>$K471</f>
        <v>2099601170</v>
      </c>
      <c r="M472" s="7">
        <f>$L471</f>
        <v>2621865513</v>
      </c>
    </row>
    <row r="473" spans="1:13">
      <c r="A473" s="7">
        <v>8</v>
      </c>
      <c r="B473" s="7">
        <v>15</v>
      </c>
      <c r="C473" s="7">
        <f>INDEX(Sheet2!$B$2:$B$65,$B473+1)</f>
        <v>1236535329</v>
      </c>
      <c r="D473" s="7">
        <f>INDEX(Sheet2!$C$2:$C$65,$B473+1)</f>
        <v>22</v>
      </c>
      <c r="E473" s="7">
        <f>INDEX(Sheet2!$D$2:$D$65,$B473+1)</f>
        <v>15</v>
      </c>
      <c r="F473" s="7">
        <f>INDEX(Sheet3!$AY$2:$BN$11,$A473,$E473+1)</f>
        <v>0</v>
      </c>
      <c r="G473" s="7">
        <f>IF($B473&lt;16,_xlfn.BITOR(_xlfn.BITAND($K472,$L472),_xlfn.BITAND(4294967295-$K472,$M472)),IF($B473&lt;32,_xlfn.BITOR(_xlfn.BITAND($M472,$K472),_xlfn.BITAND(4294967295-$M472,$L472)),IF($B473&lt;48,_xlfn.BITXOR(_xlfn.BITXOR($K472,$L472),$M472),_xlfn.BITXOR($L472,_xlfn.BITOR($K472,4294967295-$M472)))))</f>
        <v>3710287627</v>
      </c>
      <c r="H473" s="7">
        <f>MOD($G473+$J472+$C473+$F473,4294967296)</f>
        <v>4233769157</v>
      </c>
      <c r="I473" s="7">
        <f>MOD($H473,2^(32-$D473))*2^$D473+INT($H473/2^(32-$D473))</f>
        <v>830412428</v>
      </c>
      <c r="J473" s="7">
        <f>$M472</f>
        <v>2621865513</v>
      </c>
      <c r="K473" s="7">
        <f>MOD($K472+$I473,4294967296)</f>
        <v>2339855918</v>
      </c>
      <c r="L473" s="7">
        <f>$K472</f>
        <v>1509443490</v>
      </c>
      <c r="M473" s="7">
        <f>$L472</f>
        <v>2099601170</v>
      </c>
    </row>
    <row r="474" spans="1:13">
      <c r="A474" s="7">
        <v>8</v>
      </c>
      <c r="B474" s="7">
        <v>16</v>
      </c>
      <c r="C474" s="7">
        <f>INDEX(Sheet2!$B$2:$B$65,$B474+1)</f>
        <v>4129170786</v>
      </c>
      <c r="D474" s="7">
        <f>INDEX(Sheet2!$C$2:$C$65,$B474+1)</f>
        <v>5</v>
      </c>
      <c r="E474" s="7">
        <f>INDEX(Sheet2!$D$2:$D$65,$B474+1)</f>
        <v>1</v>
      </c>
      <c r="F474" s="7">
        <f>INDEX(Sheet3!$AY$2:$BN$11,$A474,$E474+1)</f>
        <v>862876511</v>
      </c>
      <c r="G474" s="7">
        <f>IF($B474&lt;16,_xlfn.BITOR(_xlfn.BITAND($K473,$L473),_xlfn.BITAND(4294967295-$K473,$M473)),IF($B474&lt;32,_xlfn.BITOR(_xlfn.BITAND($M473,$K473),_xlfn.BITAND(4294967295-$M473,$L473)),IF($B474&lt;48,_xlfn.BITXOR(_xlfn.BITXOR($K473,$L473),$M473),_xlfn.BITXOR($L473,_xlfn.BITOR($K473,4294967295-$M473)))))</f>
        <v>167599778</v>
      </c>
      <c r="H474" s="7">
        <f>MOD($G474+$J473+$C474+$F474,4294967296)</f>
        <v>3486545292</v>
      </c>
      <c r="I474" s="7">
        <f>MOD($H474,2^(32-$D474))*2^$D474+INT($H474/2^(32-$D474))</f>
        <v>4195266969</v>
      </c>
      <c r="J474" s="7">
        <f>$M473</f>
        <v>2099601170</v>
      </c>
      <c r="K474" s="7">
        <f>MOD($K473+$I474,4294967296)</f>
        <v>2240155591</v>
      </c>
      <c r="L474" s="7">
        <f>$K473</f>
        <v>2339855918</v>
      </c>
      <c r="M474" s="7">
        <f>$L473</f>
        <v>1509443490</v>
      </c>
    </row>
    <row r="475" spans="1:13">
      <c r="A475" s="7">
        <v>8</v>
      </c>
      <c r="B475" s="7">
        <v>17</v>
      </c>
      <c r="C475" s="7">
        <f>INDEX(Sheet2!$B$2:$B$65,$B475+1)</f>
        <v>3225465664</v>
      </c>
      <c r="D475" s="7">
        <f>INDEX(Sheet2!$C$2:$C$65,$B475+1)</f>
        <v>9</v>
      </c>
      <c r="E475" s="7">
        <f>INDEX(Sheet2!$D$2:$D$65,$B475+1)</f>
        <v>6</v>
      </c>
      <c r="F475" s="7">
        <f>INDEX(Sheet3!$AY$2:$BN$11,$A475,$E475+1)</f>
        <v>0</v>
      </c>
      <c r="G475" s="7">
        <f>IF($B475&lt;16,_xlfn.BITOR(_xlfn.BITAND($K474,$L474),_xlfn.BITAND(4294967295-$K474,$M474)),IF($B475&lt;32,_xlfn.BITOR(_xlfn.BITAND($M474,$K474),_xlfn.BITAND(4294967295-$M474,$L474)),IF($B475&lt;48,_xlfn.BITXOR(_xlfn.BITXOR($K474,$L474),$M474),_xlfn.BITXOR($L474,_xlfn.BITOR($K474,4294967295-$M474)))))</f>
        <v>2206670734</v>
      </c>
      <c r="H475" s="7">
        <f>MOD($G475+$J474+$C475+$F475,4294967296)</f>
        <v>3236770272</v>
      </c>
      <c r="I475" s="7">
        <f>MOD($H475,2^(32-$D475))*2^$D475+INT($H475/2^(32-$D475))</f>
        <v>3663970689</v>
      </c>
      <c r="J475" s="7">
        <f>$M474</f>
        <v>1509443490</v>
      </c>
      <c r="K475" s="7">
        <f>MOD($K474+$I475,4294967296)</f>
        <v>1609158984</v>
      </c>
      <c r="L475" s="7">
        <f>$K474</f>
        <v>2240155591</v>
      </c>
      <c r="M475" s="7">
        <f>$L474</f>
        <v>2339855918</v>
      </c>
    </row>
    <row r="476" spans="1:13">
      <c r="A476" s="7">
        <v>8</v>
      </c>
      <c r="B476" s="7">
        <v>18</v>
      </c>
      <c r="C476" s="7">
        <f>INDEX(Sheet2!$B$2:$B$65,$B476+1)</f>
        <v>643717713</v>
      </c>
      <c r="D476" s="7">
        <f>INDEX(Sheet2!$C$2:$C$65,$B476+1)</f>
        <v>14</v>
      </c>
      <c r="E476" s="7">
        <f>INDEX(Sheet2!$D$2:$D$65,$B476+1)</f>
        <v>11</v>
      </c>
      <c r="F476" s="7">
        <f>INDEX(Sheet3!$AY$2:$BN$11,$A476,$E476+1)</f>
        <v>0</v>
      </c>
      <c r="G476" s="7">
        <f>IF($B476&lt;16,_xlfn.BITOR(_xlfn.BITAND($K475,$L475),_xlfn.BITAND(4294967295-$K475,$M475)),IF($B476&lt;32,_xlfn.BITOR(_xlfn.BITAND($M475,$K475),_xlfn.BITAND(4294967295-$M475,$L475)),IF($B476&lt;48,_xlfn.BITXOR(_xlfn.BITXOR($K475,$L475),$M475),_xlfn.BITXOR($L475,_xlfn.BITOR($K475,4294967295-$M475)))))</f>
        <v>266424777</v>
      </c>
      <c r="H476" s="7">
        <f>MOD($G476+$J475+$C476+$F476,4294967296)</f>
        <v>2419585980</v>
      </c>
      <c r="I476" s="7">
        <f>MOD($H476,2^(32-$D476))*2^$D476+INT($H476/2^(32-$D476))</f>
        <v>4243530765</v>
      </c>
      <c r="J476" s="7">
        <f>$M475</f>
        <v>2339855918</v>
      </c>
      <c r="K476" s="7">
        <f>MOD($K475+$I476,4294967296)</f>
        <v>1557722453</v>
      </c>
      <c r="L476" s="7">
        <f>$K475</f>
        <v>1609158984</v>
      </c>
      <c r="M476" s="7">
        <f>$L475</f>
        <v>2240155591</v>
      </c>
    </row>
    <row r="477" spans="1:13">
      <c r="A477" s="7">
        <v>8</v>
      </c>
      <c r="B477" s="7">
        <v>19</v>
      </c>
      <c r="C477" s="7">
        <f>INDEX(Sheet2!$B$2:$B$65,$B477+1)</f>
        <v>3921069994</v>
      </c>
      <c r="D477" s="7">
        <f>INDEX(Sheet2!$C$2:$C$65,$B477+1)</f>
        <v>20</v>
      </c>
      <c r="E477" s="7">
        <f>INDEX(Sheet2!$D$2:$D$65,$B477+1)</f>
        <v>0</v>
      </c>
      <c r="F477" s="7">
        <f>INDEX(Sheet3!$AY$2:$BN$11,$A477,$E477+1)</f>
        <v>1701654643</v>
      </c>
      <c r="G477" s="7">
        <f>IF($B477&lt;16,_xlfn.BITOR(_xlfn.BITAND($K476,$L476),_xlfn.BITAND(4294967295-$K476,$M476)),IF($B477&lt;32,_xlfn.BITOR(_xlfn.BITAND($M476,$K476),_xlfn.BITAND(4294967295-$M476,$L476)),IF($B477&lt;48,_xlfn.BITXOR(_xlfn.BITXOR($K476,$L476),$M476),_xlfn.BITXOR($L476,_xlfn.BITOR($K476,4294967295-$M476)))))</f>
        <v>1592382797</v>
      </c>
      <c r="H477" s="7">
        <f>MOD($G477+$J476+$C477+$F477,4294967296)</f>
        <v>965028760</v>
      </c>
      <c r="I477" s="7">
        <f>MOD($H477,2^(32-$D477))*2^$D477+INT($H477/2^(32-$D477))</f>
        <v>3112409170</v>
      </c>
      <c r="J477" s="7">
        <f>$M476</f>
        <v>2240155591</v>
      </c>
      <c r="K477" s="7">
        <f>MOD($K476+$I477,4294967296)</f>
        <v>375164327</v>
      </c>
      <c r="L477" s="7">
        <f>$K476</f>
        <v>1557722453</v>
      </c>
      <c r="M477" s="7">
        <f>$L476</f>
        <v>1609158984</v>
      </c>
    </row>
    <row r="478" spans="1:13">
      <c r="A478" s="7">
        <v>8</v>
      </c>
      <c r="B478" s="7">
        <v>20</v>
      </c>
      <c r="C478" s="7">
        <f>INDEX(Sheet2!$B$2:$B$65,$B478+1)</f>
        <v>3593408605</v>
      </c>
      <c r="D478" s="7">
        <f>INDEX(Sheet2!$C$2:$C$65,$B478+1)</f>
        <v>5</v>
      </c>
      <c r="E478" s="7">
        <f>INDEX(Sheet2!$D$2:$D$65,$B478+1)</f>
        <v>5</v>
      </c>
      <c r="F478" s="7">
        <f>INDEX(Sheet3!$AY$2:$BN$11,$A478,$E478+1)</f>
        <v>0</v>
      </c>
      <c r="G478" s="7">
        <f>IF($B478&lt;16,_xlfn.BITOR(_xlfn.BITAND($K477,$L477),_xlfn.BITAND(4294967295-$K477,$M477)),IF($B478&lt;32,_xlfn.BITOR(_xlfn.BITAND($M477,$K477),_xlfn.BITAND(4294967295-$M477,$L477)),IF($B478&lt;48,_xlfn.BITXOR(_xlfn.BITXOR($K477,$L477),$M477),_xlfn.BITXOR($L477,_xlfn.BITOR($K477,4294967295-$M477)))))</f>
        <v>374908181</v>
      </c>
      <c r="H478" s="7">
        <f>MOD($G478+$J477+$C478+$F478,4294967296)</f>
        <v>1913505081</v>
      </c>
      <c r="I478" s="7">
        <f>MOD($H478,2^(32-$D478))*2^$D478+INT($H478/2^(32-$D478))</f>
        <v>1102620462</v>
      </c>
      <c r="J478" s="7">
        <f>$M477</f>
        <v>1609158984</v>
      </c>
      <c r="K478" s="7">
        <f>MOD($K477+$I478,4294967296)</f>
        <v>1477784789</v>
      </c>
      <c r="L478" s="7">
        <f>$K477</f>
        <v>375164327</v>
      </c>
      <c r="M478" s="7">
        <f>$L477</f>
        <v>1557722453</v>
      </c>
    </row>
    <row r="479" spans="1:13">
      <c r="A479" s="7">
        <v>8</v>
      </c>
      <c r="B479" s="7">
        <v>21</v>
      </c>
      <c r="C479" s="7">
        <f>INDEX(Sheet2!$B$2:$B$65,$B479+1)</f>
        <v>38016083</v>
      </c>
      <c r="D479" s="7">
        <f>INDEX(Sheet2!$C$2:$C$65,$B479+1)</f>
        <v>9</v>
      </c>
      <c r="E479" s="7">
        <f>INDEX(Sheet2!$D$2:$D$65,$B479+1)</f>
        <v>10</v>
      </c>
      <c r="F479" s="7">
        <f>INDEX(Sheet3!$AY$2:$BN$11,$A479,$E479+1)</f>
        <v>0</v>
      </c>
      <c r="G479" s="7">
        <f>IF($B479&lt;16,_xlfn.BITOR(_xlfn.BITAND($K478,$L478),_xlfn.BITAND(4294967295-$K478,$M478)),IF($B479&lt;32,_xlfn.BITOR(_xlfn.BITAND($M478,$K478),_xlfn.BITAND(4294967295-$M478,$L478)),IF($B479&lt;48,_xlfn.BITXOR(_xlfn.BITXOR($K478,$L478),$M478),_xlfn.BITXOR($L478,_xlfn.BITOR($K478,4294967295-$M478)))))</f>
        <v>1511275767</v>
      </c>
      <c r="H479" s="7">
        <f>MOD($G479+$J478+$C479+$F479,4294967296)</f>
        <v>3158450834</v>
      </c>
      <c r="I479" s="7">
        <f>MOD($H479,2^(32-$D479))*2^$D479+INT($H479/2^(32-$D479))</f>
        <v>2219124088</v>
      </c>
      <c r="J479" s="7">
        <f>$M478</f>
        <v>1557722453</v>
      </c>
      <c r="K479" s="7">
        <f>MOD($K478+$I479,4294967296)</f>
        <v>3696908877</v>
      </c>
      <c r="L479" s="7">
        <f>$K478</f>
        <v>1477784789</v>
      </c>
      <c r="M479" s="7">
        <f>$L478</f>
        <v>375164327</v>
      </c>
    </row>
    <row r="480" spans="1:13">
      <c r="A480" s="7">
        <v>8</v>
      </c>
      <c r="B480" s="7">
        <v>22</v>
      </c>
      <c r="C480" s="7">
        <f>INDEX(Sheet2!$B$2:$B$65,$B480+1)</f>
        <v>3634488961</v>
      </c>
      <c r="D480" s="7">
        <f>INDEX(Sheet2!$C$2:$C$65,$B480+1)</f>
        <v>14</v>
      </c>
      <c r="E480" s="7">
        <f>INDEX(Sheet2!$D$2:$D$65,$B480+1)</f>
        <v>15</v>
      </c>
      <c r="F480" s="7">
        <f>INDEX(Sheet3!$AY$2:$BN$11,$A480,$E480+1)</f>
        <v>0</v>
      </c>
      <c r="G480" s="7">
        <f>IF($B480&lt;16,_xlfn.BITOR(_xlfn.BITAND($K479,$L479),_xlfn.BITAND(4294967295-$K479,$M479)),IF($B480&lt;32,_xlfn.BITOR(_xlfn.BITAND($M479,$K479),_xlfn.BITAND(4294967295-$M479,$L479)),IF($B480&lt;48,_xlfn.BITXOR(_xlfn.BITXOR($K479,$L479),$M479),_xlfn.BITXOR($L479,_xlfn.BITOR($K479,4294967295-$M479)))))</f>
        <v>1549350997</v>
      </c>
      <c r="H480" s="7">
        <f>MOD($G480+$J479+$C480+$F480,4294967296)</f>
        <v>2446595115</v>
      </c>
      <c r="I480" s="7">
        <f>MOD($H480,2^(32-$D480))*2^$D480+INT($H480/2^(32-$D480))</f>
        <v>84599925</v>
      </c>
      <c r="J480" s="7">
        <f>$M479</f>
        <v>375164327</v>
      </c>
      <c r="K480" s="7">
        <f>MOD($K479+$I480,4294967296)</f>
        <v>3781508802</v>
      </c>
      <c r="L480" s="7">
        <f>$K479</f>
        <v>3696908877</v>
      </c>
      <c r="M480" s="7">
        <f>$L479</f>
        <v>1477784789</v>
      </c>
    </row>
    <row r="481" spans="1:13">
      <c r="A481" s="7">
        <v>8</v>
      </c>
      <c r="B481" s="7">
        <v>23</v>
      </c>
      <c r="C481" s="7">
        <f>INDEX(Sheet2!$B$2:$B$65,$B481+1)</f>
        <v>3889429448</v>
      </c>
      <c r="D481" s="7">
        <f>INDEX(Sheet2!$C$2:$C$65,$B481+1)</f>
        <v>20</v>
      </c>
      <c r="E481" s="7">
        <f>INDEX(Sheet2!$D$2:$D$65,$B481+1)</f>
        <v>4</v>
      </c>
      <c r="F481" s="7">
        <f>INDEX(Sheet3!$AY$2:$BN$11,$A481,$E481+1)</f>
        <v>2151628607</v>
      </c>
      <c r="G481" s="7">
        <f>IF($B481&lt;16,_xlfn.BITOR(_xlfn.BITAND($K480,$L480),_xlfn.BITAND(4294967295-$K480,$M480)),IF($B481&lt;32,_xlfn.BITOR(_xlfn.BITAND($M480,$K480),_xlfn.BITAND(4294967295-$M480,$L480)),IF($B481&lt;48,_xlfn.BITXOR(_xlfn.BITXOR($K480,$L480),$M480),_xlfn.BITXOR($L480,_xlfn.BITOR($K480,4294967295-$M480)))))</f>
        <v>3293544136</v>
      </c>
      <c r="H481" s="7">
        <f>MOD($G481+$J480+$C481+$F481,4294967296)</f>
        <v>1119831926</v>
      </c>
      <c r="I481" s="7">
        <f>MOD($H481,2^(32-$D481))*2^$D481+INT($H481/2^(32-$D481))</f>
        <v>2003053556</v>
      </c>
      <c r="J481" s="7">
        <f>$M480</f>
        <v>1477784789</v>
      </c>
      <c r="K481" s="7">
        <f>MOD($K480+$I481,4294967296)</f>
        <v>1489595062</v>
      </c>
      <c r="L481" s="7">
        <f>$K480</f>
        <v>3781508802</v>
      </c>
      <c r="M481" s="7">
        <f>$L480</f>
        <v>3696908877</v>
      </c>
    </row>
    <row r="482" spans="1:13">
      <c r="A482" s="7">
        <v>8</v>
      </c>
      <c r="B482" s="7">
        <v>24</v>
      </c>
      <c r="C482" s="7">
        <f>INDEX(Sheet2!$B$2:$B$65,$B482+1)</f>
        <v>568446438</v>
      </c>
      <c r="D482" s="7">
        <f>INDEX(Sheet2!$C$2:$C$65,$B482+1)</f>
        <v>5</v>
      </c>
      <c r="E482" s="7">
        <f>INDEX(Sheet2!$D$2:$D$65,$B482+1)</f>
        <v>9</v>
      </c>
      <c r="F482" s="7">
        <f>INDEX(Sheet3!$AY$2:$BN$11,$A482,$E482+1)</f>
        <v>0</v>
      </c>
      <c r="G482" s="7">
        <f>IF($B482&lt;16,_xlfn.BITOR(_xlfn.BITAND($K481,$L481),_xlfn.BITAND(4294967295-$K481,$M481)),IF($B482&lt;32,_xlfn.BITOR(_xlfn.BITAND($M481,$K481),_xlfn.BITAND(4294967295-$M481,$L481)),IF($B482&lt;48,_xlfn.BITXOR(_xlfn.BITXOR($K481,$L481),$M481),_xlfn.BITXOR($L481,_xlfn.BITOR($K481,4294967295-$M481)))))</f>
        <v>2037214854</v>
      </c>
      <c r="H482" s="7">
        <f>MOD($G482+$J481+$C482+$F482,4294967296)</f>
        <v>4083446081</v>
      </c>
      <c r="I482" s="7">
        <f>MOD($H482,2^(32-$D482))*2^$D482+INT($H482/2^(32-$D482))</f>
        <v>1821255742</v>
      </c>
      <c r="J482" s="7">
        <f>$M481</f>
        <v>3696908877</v>
      </c>
      <c r="K482" s="7">
        <f>MOD($K481+$I482,4294967296)</f>
        <v>3310850804</v>
      </c>
      <c r="L482" s="7">
        <f>$K481</f>
        <v>1489595062</v>
      </c>
      <c r="M482" s="7">
        <f>$L481</f>
        <v>3781508802</v>
      </c>
    </row>
    <row r="483" spans="1:13">
      <c r="A483" s="7">
        <v>8</v>
      </c>
      <c r="B483" s="7">
        <v>25</v>
      </c>
      <c r="C483" s="7">
        <f>INDEX(Sheet2!$B$2:$B$65,$B483+1)</f>
        <v>3275163606</v>
      </c>
      <c r="D483" s="7">
        <f>INDEX(Sheet2!$C$2:$C$65,$B483+1)</f>
        <v>9</v>
      </c>
      <c r="E483" s="7">
        <f>INDEX(Sheet2!$D$2:$D$65,$B483+1)</f>
        <v>14</v>
      </c>
      <c r="F483" s="7">
        <f>INDEX(Sheet3!$AY$2:$BN$11,$A483,$E483+1)</f>
        <v>152</v>
      </c>
      <c r="G483" s="7">
        <f>IF($B483&lt;16,_xlfn.BITOR(_xlfn.BITAND($K482,$L482),_xlfn.BITAND(4294967295-$K482,$M482)),IF($B483&lt;32,_xlfn.BITOR(_xlfn.BITAND($M482,$K482),_xlfn.BITAND(4294967295-$M482,$L482)),IF($B483&lt;48,_xlfn.BITXOR(_xlfn.BITXOR($K482,$L482),$M482),_xlfn.BITXOR($L482,_xlfn.BITOR($K482,4294967295-$M482)))))</f>
        <v>3654111988</v>
      </c>
      <c r="H483" s="7">
        <f>MOD($G483+$J482+$C483+$F483,4294967296)</f>
        <v>2036250031</v>
      </c>
      <c r="I483" s="7">
        <f>MOD($H483,2^(32-$D483))*2^$D483+INT($H483/2^(32-$D483))</f>
        <v>3177930482</v>
      </c>
      <c r="J483" s="7">
        <f>$M482</f>
        <v>3781508802</v>
      </c>
      <c r="K483" s="7">
        <f>MOD($K482+$I483,4294967296)</f>
        <v>2193813990</v>
      </c>
      <c r="L483" s="7">
        <f>$K482</f>
        <v>3310850804</v>
      </c>
      <c r="M483" s="7">
        <f>$L482</f>
        <v>1489595062</v>
      </c>
    </row>
    <row r="484" spans="1:13">
      <c r="A484" s="7">
        <v>8</v>
      </c>
      <c r="B484" s="7">
        <v>26</v>
      </c>
      <c r="C484" s="7">
        <f>INDEX(Sheet2!$B$2:$B$65,$B484+1)</f>
        <v>4107603335</v>
      </c>
      <c r="D484" s="7">
        <f>INDEX(Sheet2!$C$2:$C$65,$B484+1)</f>
        <v>14</v>
      </c>
      <c r="E484" s="7">
        <f>INDEX(Sheet2!$D$2:$D$65,$B484+1)</f>
        <v>3</v>
      </c>
      <c r="F484" s="7">
        <f>INDEX(Sheet3!$AY$2:$BN$11,$A484,$E484+1)</f>
        <v>1953248371</v>
      </c>
      <c r="G484" s="7">
        <f>IF($B484&lt;16,_xlfn.BITOR(_xlfn.BITAND($K483,$L483),_xlfn.BITAND(4294967295-$K483,$M483)),IF($B484&lt;32,_xlfn.BITOR(_xlfn.BITAND($M483,$K483),_xlfn.BITAND(4294967295-$M483,$L483)),IF($B484&lt;48,_xlfn.BITXOR(_xlfn.BITXOR($K483,$L483),$M483),_xlfn.BITXOR($L483,_xlfn.BITOR($K483,4294967295-$M483)))))</f>
        <v>2245456102</v>
      </c>
      <c r="H484" s="7">
        <f>MOD($G484+$J483+$C484+$F484,4294967296)</f>
        <v>3497882018</v>
      </c>
      <c r="I484" s="7">
        <f>MOD($H484,2^(32-$D484))*2^$D484+INT($H484/2^(32-$D484))</f>
        <v>1550365727</v>
      </c>
      <c r="J484" s="7">
        <f>$M483</f>
        <v>1489595062</v>
      </c>
      <c r="K484" s="7">
        <f>MOD($K483+$I484,4294967296)</f>
        <v>3744179717</v>
      </c>
      <c r="L484" s="7">
        <f>$K483</f>
        <v>2193813990</v>
      </c>
      <c r="M484" s="7">
        <f>$L483</f>
        <v>3310850804</v>
      </c>
    </row>
    <row r="485" spans="1:13">
      <c r="A485" s="7">
        <v>8</v>
      </c>
      <c r="B485" s="7">
        <v>27</v>
      </c>
      <c r="C485" s="7">
        <f>INDEX(Sheet2!$B$2:$B$65,$B485+1)</f>
        <v>1163531501</v>
      </c>
      <c r="D485" s="7">
        <f>INDEX(Sheet2!$C$2:$C$65,$B485+1)</f>
        <v>20</v>
      </c>
      <c r="E485" s="7">
        <f>INDEX(Sheet2!$D$2:$D$65,$B485+1)</f>
        <v>8</v>
      </c>
      <c r="F485" s="7">
        <f>INDEX(Sheet3!$AY$2:$BN$11,$A485,$E485+1)</f>
        <v>0</v>
      </c>
      <c r="G485" s="7">
        <f>IF($B485&lt;16,_xlfn.BITOR(_xlfn.BITAND($K484,$L484),_xlfn.BITAND(4294967295-$K484,$M484)),IF($B485&lt;32,_xlfn.BITOR(_xlfn.BITAND($M484,$K484),_xlfn.BITAND(4294967295-$M484,$L484)),IF($B485&lt;48,_xlfn.BITXOR(_xlfn.BITXOR($K484,$L484),$M484),_xlfn.BITXOR($L484,_xlfn.BITOR($K484,4294967295-$M484)))))</f>
        <v>3347309318</v>
      </c>
      <c r="H485" s="7">
        <f>MOD($G485+$J484+$C485+$F485,4294967296)</f>
        <v>1705468585</v>
      </c>
      <c r="I485" s="7">
        <f>MOD($H485,2^(32-$D485))*2^$D485+INT($H485/2^(32-$D485))</f>
        <v>714496630</v>
      </c>
      <c r="J485" s="7">
        <f>$M484</f>
        <v>3310850804</v>
      </c>
      <c r="K485" s="7">
        <f>MOD($K484+$I485,4294967296)</f>
        <v>163709051</v>
      </c>
      <c r="L485" s="7">
        <f>$K484</f>
        <v>3744179717</v>
      </c>
      <c r="M485" s="7">
        <f>$L484</f>
        <v>2193813990</v>
      </c>
    </row>
    <row r="486" spans="1:13">
      <c r="A486" s="7">
        <v>8</v>
      </c>
      <c r="B486" s="7">
        <v>28</v>
      </c>
      <c r="C486" s="7">
        <f>INDEX(Sheet2!$B$2:$B$65,$B486+1)</f>
        <v>2850285829</v>
      </c>
      <c r="D486" s="7">
        <f>INDEX(Sheet2!$C$2:$C$65,$B486+1)</f>
        <v>5</v>
      </c>
      <c r="E486" s="7">
        <f>INDEX(Sheet2!$D$2:$D$65,$B486+1)</f>
        <v>13</v>
      </c>
      <c r="F486" s="7">
        <f>INDEX(Sheet3!$AY$2:$BN$11,$A486,$E486+1)</f>
        <v>0</v>
      </c>
      <c r="G486" s="7">
        <f>IF($B486&lt;16,_xlfn.BITOR(_xlfn.BITAND($K485,$L485),_xlfn.BITAND(4294967295-$K485,$M485)),IF($B486&lt;32,_xlfn.BITOR(_xlfn.BITAND($M485,$K485),_xlfn.BITAND(4294967295-$M485,$L485)),IF($B486&lt;48,_xlfn.BITXOR(_xlfn.BITXOR($K485,$L485),$M485),_xlfn.BITXOR($L485,_xlfn.BITOR($K485,4294967295-$M485)))))</f>
        <v>1575683683</v>
      </c>
      <c r="H486" s="7">
        <f>MOD($G486+$J485+$C486+$F486,4294967296)</f>
        <v>3441853020</v>
      </c>
      <c r="I486" s="7">
        <f>MOD($H486,2^(32-$D486))*2^$D486+INT($H486/2^(32-$D486))</f>
        <v>2765114265</v>
      </c>
      <c r="J486" s="7">
        <f>$M485</f>
        <v>2193813990</v>
      </c>
      <c r="K486" s="7">
        <f>MOD($K485+$I486,4294967296)</f>
        <v>2928823316</v>
      </c>
      <c r="L486" s="7">
        <f>$K485</f>
        <v>163709051</v>
      </c>
      <c r="M486" s="7">
        <f>$L485</f>
        <v>3744179717</v>
      </c>
    </row>
    <row r="487" spans="1:13">
      <c r="A487" s="7">
        <v>8</v>
      </c>
      <c r="B487" s="7">
        <v>29</v>
      </c>
      <c r="C487" s="7">
        <f>INDEX(Sheet2!$B$2:$B$65,$B487+1)</f>
        <v>4243563512</v>
      </c>
      <c r="D487" s="7">
        <f>INDEX(Sheet2!$C$2:$C$65,$B487+1)</f>
        <v>9</v>
      </c>
      <c r="E487" s="7">
        <f>INDEX(Sheet2!$D$2:$D$65,$B487+1)</f>
        <v>2</v>
      </c>
      <c r="F487" s="7">
        <f>INDEX(Sheet3!$AY$2:$BN$11,$A487,$E487+1)</f>
        <v>1601792820</v>
      </c>
      <c r="G487" s="7">
        <f>IF($B487&lt;16,_xlfn.BITOR(_xlfn.BITAND($K486,$L486),_xlfn.BITAND(4294967295-$K486,$M486)),IF($B487&lt;32,_xlfn.BITOR(_xlfn.BITAND($M486,$K486),_xlfn.BITAND(4294967295-$M486,$L486)),IF($B487&lt;48,_xlfn.BITXOR(_xlfn.BITXOR($K486,$L486),$M486),_xlfn.BITXOR($L486,_xlfn.BITOR($K486,4294967295-$M486)))))</f>
        <v>2395079806</v>
      </c>
      <c r="H487" s="7">
        <f>MOD($G487+$J486+$C487+$F487,4294967296)</f>
        <v>1844315536</v>
      </c>
      <c r="I487" s="7">
        <f>MOD($H487,2^(32-$D487))*2^$D487+INT($H487/2^(32-$D487))</f>
        <v>3691716827</v>
      </c>
      <c r="J487" s="7">
        <f>$M486</f>
        <v>3744179717</v>
      </c>
      <c r="K487" s="7">
        <f>MOD($K486+$I487,4294967296)</f>
        <v>2325572847</v>
      </c>
      <c r="L487" s="7">
        <f>$K486</f>
        <v>2928823316</v>
      </c>
      <c r="M487" s="7">
        <f>$L486</f>
        <v>163709051</v>
      </c>
    </row>
    <row r="488" spans="1:13">
      <c r="A488" s="7">
        <v>8</v>
      </c>
      <c r="B488" s="7">
        <v>30</v>
      </c>
      <c r="C488" s="7">
        <f>INDEX(Sheet2!$B$2:$B$65,$B488+1)</f>
        <v>1735328473</v>
      </c>
      <c r="D488" s="7">
        <f>INDEX(Sheet2!$C$2:$C$65,$B488+1)</f>
        <v>14</v>
      </c>
      <c r="E488" s="7">
        <f>INDEX(Sheet2!$D$2:$D$65,$B488+1)</f>
        <v>7</v>
      </c>
      <c r="F488" s="7">
        <f>INDEX(Sheet3!$AY$2:$BN$11,$A488,$E488+1)</f>
        <v>0</v>
      </c>
      <c r="G488" s="7">
        <f>IF($B488&lt;16,_xlfn.BITOR(_xlfn.BITAND($K487,$L487),_xlfn.BITAND(4294967295-$K487,$M487)),IF($B488&lt;32,_xlfn.BITOR(_xlfn.BITAND($M487,$K487),_xlfn.BITAND(4294967295-$M487,$L487)),IF($B488&lt;48,_xlfn.BITXOR(_xlfn.BITXOR($K487,$L487),$M487),_xlfn.BITXOR($L487,_xlfn.BITOR($K487,4294967295-$M487)))))</f>
        <v>2928692335</v>
      </c>
      <c r="H488" s="7">
        <f>MOD($G488+$J487+$C488+$F488,4294967296)</f>
        <v>4113233229</v>
      </c>
      <c r="I488" s="7">
        <f>MOD($H488,2^(32-$D488))*2^$D488+INT($H488/2^(32-$D488))</f>
        <v>3176365386</v>
      </c>
      <c r="J488" s="7">
        <f>$M487</f>
        <v>163709051</v>
      </c>
      <c r="K488" s="7">
        <f>MOD($K487+$I488,4294967296)</f>
        <v>1206970937</v>
      </c>
      <c r="L488" s="7">
        <f>$K487</f>
        <v>2325572847</v>
      </c>
      <c r="M488" s="7">
        <f>$L487</f>
        <v>2928823316</v>
      </c>
    </row>
    <row r="489" spans="1:13">
      <c r="A489" s="7">
        <v>8</v>
      </c>
      <c r="B489" s="7">
        <v>31</v>
      </c>
      <c r="C489" s="7">
        <f>INDEX(Sheet2!$B$2:$B$65,$B489+1)</f>
        <v>2368359562</v>
      </c>
      <c r="D489" s="7">
        <f>INDEX(Sheet2!$C$2:$C$65,$B489+1)</f>
        <v>20</v>
      </c>
      <c r="E489" s="7">
        <f>INDEX(Sheet2!$D$2:$D$65,$B489+1)</f>
        <v>12</v>
      </c>
      <c r="F489" s="7">
        <f>INDEX(Sheet3!$AY$2:$BN$11,$A489,$E489+1)</f>
        <v>0</v>
      </c>
      <c r="G489" s="7">
        <f>IF($B489&lt;16,_xlfn.BITOR(_xlfn.BITAND($K488,$L488),_xlfn.BITAND(4294967295-$K488,$M488)),IF($B489&lt;32,_xlfn.BITOR(_xlfn.BITAND($M488,$K488),_xlfn.BITAND(4294967295-$M488,$L488)),IF($B489&lt;48,_xlfn.BITXOR(_xlfn.BITXOR($K488,$L488),$M488),_xlfn.BITXOR($L488,_xlfn.BITOR($K488,4294967295-$M488)))))</f>
        <v>110979323</v>
      </c>
      <c r="H489" s="7">
        <f>MOD($G489+$J488+$C489+$F489,4294967296)</f>
        <v>2643047936</v>
      </c>
      <c r="I489" s="7">
        <f>MOD($H489,2^(32-$D489))*2^$D489+INT($H489/2^(32-$D489))</f>
        <v>1611258011</v>
      </c>
      <c r="J489" s="7">
        <f>$M488</f>
        <v>2928823316</v>
      </c>
      <c r="K489" s="7">
        <f>MOD($K488+$I489,4294967296)</f>
        <v>2818228948</v>
      </c>
      <c r="L489" s="7">
        <f>$K488</f>
        <v>1206970937</v>
      </c>
      <c r="M489" s="7">
        <f>$L488</f>
        <v>2325572847</v>
      </c>
    </row>
    <row r="490" spans="1:13">
      <c r="A490" s="7">
        <v>8</v>
      </c>
      <c r="B490" s="7">
        <v>32</v>
      </c>
      <c r="C490" s="7">
        <f>INDEX(Sheet2!$B$2:$B$65,$B490+1)</f>
        <v>4294588738</v>
      </c>
      <c r="D490" s="7">
        <f>INDEX(Sheet2!$C$2:$C$65,$B490+1)</f>
        <v>4</v>
      </c>
      <c r="E490" s="7">
        <f>INDEX(Sheet2!$D$2:$D$65,$B490+1)</f>
        <v>5</v>
      </c>
      <c r="F490" s="7">
        <f>INDEX(Sheet3!$AY$2:$BN$11,$A490,$E490+1)</f>
        <v>0</v>
      </c>
      <c r="G490" s="7">
        <f>IF($B490&lt;16,_xlfn.BITOR(_xlfn.BITAND($K489,$L489),_xlfn.BITAND(4294967295-$K489,$M489)),IF($B490&lt;32,_xlfn.BITOR(_xlfn.BITAND($M489,$K489),_xlfn.BITAND(4294967295-$M489,$L489)),IF($B490&lt;48,_xlfn.BITXOR(_xlfn.BITXOR($K489,$L489),$M489),_xlfn.BITXOR($L489,_xlfn.BITOR($K489,4294967295-$M489)))))</f>
        <v>1788298242</v>
      </c>
      <c r="H490" s="7">
        <f>MOD($G490+$J489+$C490+$F490,4294967296)</f>
        <v>421775704</v>
      </c>
      <c r="I490" s="7">
        <f>MOD($H490,2^(32-$D490))*2^$D490+INT($H490/2^(32-$D490))</f>
        <v>2453443969</v>
      </c>
      <c r="J490" s="7">
        <f>$M489</f>
        <v>2325572847</v>
      </c>
      <c r="K490" s="7">
        <f>MOD($K489+$I490,4294967296)</f>
        <v>976705621</v>
      </c>
      <c r="L490" s="7">
        <f>$K489</f>
        <v>2818228948</v>
      </c>
      <c r="M490" s="7">
        <f>$L489</f>
        <v>1206970937</v>
      </c>
    </row>
    <row r="491" spans="1:13">
      <c r="A491" s="7">
        <v>8</v>
      </c>
      <c r="B491" s="7">
        <v>33</v>
      </c>
      <c r="C491" s="7">
        <f>INDEX(Sheet2!$B$2:$B$65,$B491+1)</f>
        <v>2272392833</v>
      </c>
      <c r="D491" s="7">
        <f>INDEX(Sheet2!$C$2:$C$65,$B491+1)</f>
        <v>11</v>
      </c>
      <c r="E491" s="7">
        <f>INDEX(Sheet2!$D$2:$D$65,$B491+1)</f>
        <v>8</v>
      </c>
      <c r="F491" s="7">
        <f>INDEX(Sheet3!$AY$2:$BN$11,$A491,$E491+1)</f>
        <v>0</v>
      </c>
      <c r="G491" s="7">
        <f>IF($B491&lt;16,_xlfn.BITOR(_xlfn.BITAND($K490,$L490),_xlfn.BITAND(4294967295-$K490,$M490)),IF($B491&lt;32,_xlfn.BITOR(_xlfn.BITAND($M490,$K490),_xlfn.BITAND(4294967295-$M490,$L490)),IF($B491&lt;48,_xlfn.BITXOR(_xlfn.BITXOR($K490,$L490),$M490),_xlfn.BITXOR($L490,_xlfn.BITOR($K490,4294967295-$M490)))))</f>
        <v>3661459640</v>
      </c>
      <c r="H491" s="7">
        <f>MOD($G491+$J490+$C491+$F491,4294967296)</f>
        <v>3964458024</v>
      </c>
      <c r="I491" s="7">
        <f>MOD($H491,2^(32-$D491))*2^$D491+INT($H491/2^(32-$D491))</f>
        <v>1721845602</v>
      </c>
      <c r="J491" s="7">
        <f>$M490</f>
        <v>1206970937</v>
      </c>
      <c r="K491" s="7">
        <f>MOD($K490+$I491,4294967296)</f>
        <v>2698551223</v>
      </c>
      <c r="L491" s="7">
        <f>$K490</f>
        <v>976705621</v>
      </c>
      <c r="M491" s="7">
        <f>$L490</f>
        <v>2818228948</v>
      </c>
    </row>
    <row r="492" spans="1:13">
      <c r="A492" s="7">
        <v>8</v>
      </c>
      <c r="B492" s="7">
        <v>34</v>
      </c>
      <c r="C492" s="7">
        <f>INDEX(Sheet2!$B$2:$B$65,$B492+1)</f>
        <v>1839030562</v>
      </c>
      <c r="D492" s="7">
        <f>INDEX(Sheet2!$C$2:$C$65,$B492+1)</f>
        <v>16</v>
      </c>
      <c r="E492" s="7">
        <f>INDEX(Sheet2!$D$2:$D$65,$B492+1)</f>
        <v>11</v>
      </c>
      <c r="F492" s="7">
        <f>INDEX(Sheet3!$AY$2:$BN$11,$A492,$E492+1)</f>
        <v>0</v>
      </c>
      <c r="G492" s="7">
        <f>IF($B492&lt;16,_xlfn.BITOR(_xlfn.BITAND($K491,$L491),_xlfn.BITAND(4294967295-$K491,$M491)),IF($B492&lt;32,_xlfn.BITOR(_xlfn.BITAND($M491,$K491),_xlfn.BITAND(4294967295-$M491,$L491)),IF($B492&lt;48,_xlfn.BITXOR(_xlfn.BITXOR($K491,$L491),$M491),_xlfn.BITXOR($L491,_xlfn.BITOR($K491,4294967295-$M491)))))</f>
        <v>1024787766</v>
      </c>
      <c r="H492" s="7">
        <f>MOD($G492+$J491+$C492+$F492,4294967296)</f>
        <v>4070789265</v>
      </c>
      <c r="I492" s="7">
        <f>MOD($H492,2^(32-$D492))*2^$D492+INT($H492/2^(32-$D492))</f>
        <v>1351742115</v>
      </c>
      <c r="J492" s="7">
        <f>$M491</f>
        <v>2818228948</v>
      </c>
      <c r="K492" s="7">
        <f>MOD($K491+$I492,4294967296)</f>
        <v>4050293338</v>
      </c>
      <c r="L492" s="7">
        <f>$K491</f>
        <v>2698551223</v>
      </c>
      <c r="M492" s="7">
        <f>$L491</f>
        <v>976705621</v>
      </c>
    </row>
    <row r="493" spans="1:13">
      <c r="A493" s="7">
        <v>8</v>
      </c>
      <c r="B493" s="7">
        <v>35</v>
      </c>
      <c r="C493" s="7">
        <f>INDEX(Sheet2!$B$2:$B$65,$B493+1)</f>
        <v>4259657740</v>
      </c>
      <c r="D493" s="7">
        <f>INDEX(Sheet2!$C$2:$C$65,$B493+1)</f>
        <v>23</v>
      </c>
      <c r="E493" s="7">
        <f>INDEX(Sheet2!$D$2:$D$65,$B493+1)</f>
        <v>14</v>
      </c>
      <c r="F493" s="7">
        <f>INDEX(Sheet3!$AY$2:$BN$11,$A493,$E493+1)</f>
        <v>152</v>
      </c>
      <c r="G493" s="7">
        <f>IF($B493&lt;16,_xlfn.BITOR(_xlfn.BITAND($K492,$L492),_xlfn.BITAND(4294967295-$K492,$M492)),IF($B493&lt;32,_xlfn.BITOR(_xlfn.BITAND($M492,$K492),_xlfn.BITAND(4294967295-$M492,$L492)),IF($B493&lt;48,_xlfn.BITXOR(_xlfn.BITXOR($K492,$L492),$M492),_xlfn.BITXOR($L492,_xlfn.BITOR($K492,4294967295-$M492)))))</f>
        <v>1803900344</v>
      </c>
      <c r="H493" s="7">
        <f>MOD($G493+$J492+$C493+$F493,4294967296)</f>
        <v>291852592</v>
      </c>
      <c r="I493" s="7">
        <f>MOD($H493,2^(32-$D493))*2^$D493+INT($H493/2^(32-$D493))</f>
        <v>2550706856</v>
      </c>
      <c r="J493" s="7">
        <f>$M492</f>
        <v>976705621</v>
      </c>
      <c r="K493" s="7">
        <f>MOD($K492+$I493,4294967296)</f>
        <v>2306032898</v>
      </c>
      <c r="L493" s="7">
        <f>$K492</f>
        <v>4050293338</v>
      </c>
      <c r="M493" s="7">
        <f>$L492</f>
        <v>2698551223</v>
      </c>
    </row>
    <row r="494" spans="1:13">
      <c r="A494" s="7">
        <v>8</v>
      </c>
      <c r="B494" s="7">
        <v>36</v>
      </c>
      <c r="C494" s="7">
        <f>INDEX(Sheet2!$B$2:$B$65,$B494+1)</f>
        <v>2763975236</v>
      </c>
      <c r="D494" s="7">
        <f>INDEX(Sheet2!$C$2:$C$65,$B494+1)</f>
        <v>4</v>
      </c>
      <c r="E494" s="7">
        <f>INDEX(Sheet2!$D$2:$D$65,$B494+1)</f>
        <v>1</v>
      </c>
      <c r="F494" s="7">
        <f>INDEX(Sheet3!$AY$2:$BN$11,$A494,$E494+1)</f>
        <v>862876511</v>
      </c>
      <c r="G494" s="7">
        <f>IF($B494&lt;16,_xlfn.BITOR(_xlfn.BITAND($K493,$L493),_xlfn.BITAND(4294967295-$K493,$M493)),IF($B494&lt;32,_xlfn.BITOR(_xlfn.BITAND($M493,$K493),_xlfn.BITAND(4294967295-$M493,$L493)),IF($B494&lt;48,_xlfn.BITXOR(_xlfn.BITXOR($K493,$L493),$M493),_xlfn.BITXOR($L493,_xlfn.BITOR($K493,4294967295-$M493)))))</f>
        <v>3636545775</v>
      </c>
      <c r="H494" s="7">
        <f>MOD($G494+$J493+$C494+$F494,4294967296)</f>
        <v>3945135847</v>
      </c>
      <c r="I494" s="7">
        <f>MOD($H494,2^(32-$D494))*2^$D494+INT($H494/2^(32-$D494))</f>
        <v>2992631422</v>
      </c>
      <c r="J494" s="7">
        <f>$M493</f>
        <v>2698551223</v>
      </c>
      <c r="K494" s="7">
        <f>MOD($K493+$I494,4294967296)</f>
        <v>1003697024</v>
      </c>
      <c r="L494" s="7">
        <f>$K493</f>
        <v>2306032898</v>
      </c>
      <c r="M494" s="7">
        <f>$L493</f>
        <v>4050293338</v>
      </c>
    </row>
    <row r="495" spans="1:13">
      <c r="A495" s="7">
        <v>8</v>
      </c>
      <c r="B495" s="7">
        <v>37</v>
      </c>
      <c r="C495" s="7">
        <f>INDEX(Sheet2!$B$2:$B$65,$B495+1)</f>
        <v>1272893353</v>
      </c>
      <c r="D495" s="7">
        <f>INDEX(Sheet2!$C$2:$C$65,$B495+1)</f>
        <v>11</v>
      </c>
      <c r="E495" s="7">
        <f>INDEX(Sheet2!$D$2:$D$65,$B495+1)</f>
        <v>4</v>
      </c>
      <c r="F495" s="7">
        <f>INDEX(Sheet3!$AY$2:$BN$11,$A495,$E495+1)</f>
        <v>2151628607</v>
      </c>
      <c r="G495" s="7">
        <f>IF($B495&lt;16,_xlfn.BITOR(_xlfn.BITAND($K494,$L494),_xlfn.BITAND(4294967295-$K494,$M494)),IF($B495&lt;32,_xlfn.BITOR(_xlfn.BITAND($M494,$K494),_xlfn.BITAND(4294967295-$M494,$L494)),IF($B495&lt;48,_xlfn.BITXOR(_xlfn.BITXOR($K494,$L494),$M494),_xlfn.BITXOR($L494,_xlfn.BITOR($K494,4294967295-$M494)))))</f>
        <v>1137370328</v>
      </c>
      <c r="H495" s="7">
        <f>MOD($G495+$J494+$C495+$F495,4294967296)</f>
        <v>2965476215</v>
      </c>
      <c r="I495" s="7">
        <f>MOD($H495,2^(32-$D495))*2^$D495+INT($H495/2^(32-$D495))</f>
        <v>211533190</v>
      </c>
      <c r="J495" s="7">
        <f>$M494</f>
        <v>4050293338</v>
      </c>
      <c r="K495" s="7">
        <f>MOD($K494+$I495,4294967296)</f>
        <v>1215230214</v>
      </c>
      <c r="L495" s="7">
        <f>$K494</f>
        <v>1003697024</v>
      </c>
      <c r="M495" s="7">
        <f>$L494</f>
        <v>2306032898</v>
      </c>
    </row>
    <row r="496" spans="1:13">
      <c r="A496" s="7">
        <v>8</v>
      </c>
      <c r="B496" s="7">
        <v>38</v>
      </c>
      <c r="C496" s="7">
        <f>INDEX(Sheet2!$B$2:$B$65,$B496+1)</f>
        <v>4139469664</v>
      </c>
      <c r="D496" s="7">
        <f>INDEX(Sheet2!$C$2:$C$65,$B496+1)</f>
        <v>16</v>
      </c>
      <c r="E496" s="7">
        <f>INDEX(Sheet2!$D$2:$D$65,$B496+1)</f>
        <v>7</v>
      </c>
      <c r="F496" s="7">
        <f>INDEX(Sheet3!$AY$2:$BN$11,$A496,$E496+1)</f>
        <v>0</v>
      </c>
      <c r="G496" s="7">
        <f>IF($B496&lt;16,_xlfn.BITOR(_xlfn.BITAND($K495,$L495),_xlfn.BITAND(4294967295-$K495,$M495)),IF($B496&lt;32,_xlfn.BITOR(_xlfn.BITAND($M495,$K495),_xlfn.BITAND(4294967295-$M495,$L495)),IF($B496&lt;48,_xlfn.BITXOR(_xlfn.BITXOR($K495,$L495),$M495),_xlfn.BITXOR($L495,_xlfn.BITOR($K495,4294967295-$M495)))))</f>
        <v>4207839108</v>
      </c>
      <c r="H496" s="7">
        <f>MOD($G496+$J495+$C496+$F496,4294967296)</f>
        <v>3807667518</v>
      </c>
      <c r="I496" s="7">
        <f>MOD($H496,2^(32-$D496))*2^$D496+INT($H496/2^(32-$D496))</f>
        <v>1698620148</v>
      </c>
      <c r="J496" s="7">
        <f>$M495</f>
        <v>2306032898</v>
      </c>
      <c r="K496" s="7">
        <f>MOD($K495+$I496,4294967296)</f>
        <v>2913850362</v>
      </c>
      <c r="L496" s="7">
        <f>$K495</f>
        <v>1215230214</v>
      </c>
      <c r="M496" s="7">
        <f>$L495</f>
        <v>1003697024</v>
      </c>
    </row>
    <row r="497" spans="1:13">
      <c r="A497" s="7">
        <v>8</v>
      </c>
      <c r="B497" s="7">
        <v>39</v>
      </c>
      <c r="C497" s="7">
        <f>INDEX(Sheet2!$B$2:$B$65,$B497+1)</f>
        <v>3200236656</v>
      </c>
      <c r="D497" s="7">
        <f>INDEX(Sheet2!$C$2:$C$65,$B497+1)</f>
        <v>23</v>
      </c>
      <c r="E497" s="7">
        <f>INDEX(Sheet2!$D$2:$D$65,$B497+1)</f>
        <v>10</v>
      </c>
      <c r="F497" s="7">
        <f>INDEX(Sheet3!$AY$2:$BN$11,$A497,$E497+1)</f>
        <v>0</v>
      </c>
      <c r="G497" s="7">
        <f>IF($B497&lt;16,_xlfn.BITOR(_xlfn.BITAND($K496,$L496),_xlfn.BITAND(4294967295-$K496,$M496)),IF($B497&lt;32,_xlfn.BITOR(_xlfn.BITAND($M496,$K496),_xlfn.BITAND(4294967295-$M496,$L496)),IF($B497&lt;48,_xlfn.BITXOR(_xlfn.BITXOR($K496,$L496),$M496),_xlfn.BITXOR($L496,_xlfn.BITOR($K496,4294967295-$M496)))))</f>
        <v>3725595004</v>
      </c>
      <c r="H497" s="7">
        <f>MOD($G497+$J496+$C497+$F497,4294967296)</f>
        <v>641929966</v>
      </c>
      <c r="I497" s="7">
        <f>MOD($H497,2^(32-$D497))*2^$D497+INT($H497/2^(32-$D497))</f>
        <v>1997742473</v>
      </c>
      <c r="J497" s="7">
        <f>$M496</f>
        <v>1003697024</v>
      </c>
      <c r="K497" s="7">
        <f>MOD($K496+$I497,4294967296)</f>
        <v>616625539</v>
      </c>
      <c r="L497" s="7">
        <f>$K496</f>
        <v>2913850362</v>
      </c>
      <c r="M497" s="7">
        <f>$L496</f>
        <v>1215230214</v>
      </c>
    </row>
    <row r="498" spans="1:13">
      <c r="A498" s="7">
        <v>8</v>
      </c>
      <c r="B498" s="7">
        <v>40</v>
      </c>
      <c r="C498" s="7">
        <f>INDEX(Sheet2!$B$2:$B$65,$B498+1)</f>
        <v>681279174</v>
      </c>
      <c r="D498" s="7">
        <f>INDEX(Sheet2!$C$2:$C$65,$B498+1)</f>
        <v>4</v>
      </c>
      <c r="E498" s="7">
        <f>INDEX(Sheet2!$D$2:$D$65,$B498+1)</f>
        <v>13</v>
      </c>
      <c r="F498" s="7">
        <f>INDEX(Sheet3!$AY$2:$BN$11,$A498,$E498+1)</f>
        <v>0</v>
      </c>
      <c r="G498" s="7">
        <f>IF($B498&lt;16,_xlfn.BITOR(_xlfn.BITAND($K497,$L497),_xlfn.BITAND(4294967295-$K497,$M497)),IF($B498&lt;32,_xlfn.BITOR(_xlfn.BITAND($M497,$K497),_xlfn.BITAND(4294967295-$M497,$L497)),IF($B498&lt;48,_xlfn.BITXOR(_xlfn.BITXOR($K497,$L497),$M497),_xlfn.BITXOR($L497,_xlfn.BITOR($K497,4294967295-$M497)))))</f>
        <v>3238254463</v>
      </c>
      <c r="H498" s="7">
        <f>MOD($G498+$J497+$C498+$F498,4294967296)</f>
        <v>628263365</v>
      </c>
      <c r="I498" s="7">
        <f>MOD($H498,2^(32-$D498))*2^$D498+INT($H498/2^(32-$D498))</f>
        <v>1462279250</v>
      </c>
      <c r="J498" s="7">
        <f>$M497</f>
        <v>1215230214</v>
      </c>
      <c r="K498" s="7">
        <f>MOD($K497+$I498,4294967296)</f>
        <v>2078904789</v>
      </c>
      <c r="L498" s="7">
        <f>$K497</f>
        <v>616625539</v>
      </c>
      <c r="M498" s="7">
        <f>$L497</f>
        <v>2913850362</v>
      </c>
    </row>
    <row r="499" spans="1:13">
      <c r="A499" s="7">
        <v>8</v>
      </c>
      <c r="B499" s="7">
        <v>41</v>
      </c>
      <c r="C499" s="7">
        <f>INDEX(Sheet2!$B$2:$B$65,$B499+1)</f>
        <v>3936430074</v>
      </c>
      <c r="D499" s="7">
        <f>INDEX(Sheet2!$C$2:$C$65,$B499+1)</f>
        <v>11</v>
      </c>
      <c r="E499" s="7">
        <f>INDEX(Sheet2!$D$2:$D$65,$B499+1)</f>
        <v>0</v>
      </c>
      <c r="F499" s="7">
        <f>INDEX(Sheet3!$AY$2:$BN$11,$A499,$E499+1)</f>
        <v>1701654643</v>
      </c>
      <c r="G499" s="7">
        <f>IF($B499&lt;16,_xlfn.BITOR(_xlfn.BITAND($K498,$L498),_xlfn.BITAND(4294967295-$K498,$M498)),IF($B499&lt;32,_xlfn.BITOR(_xlfn.BITAND($M498,$K498),_xlfn.BITAND(4294967295-$M498,$L498)),IF($B499&lt;48,_xlfn.BITXOR(_xlfn.BITXOR($K498,$L498),$M498),_xlfn.BITXOR($L498,_xlfn.BITOR($K498,4294967295-$M498)))))</f>
        <v>4068784044</v>
      </c>
      <c r="H499" s="7">
        <f>MOD($G499+$J498+$C499+$F499,4294967296)</f>
        <v>2332164383</v>
      </c>
      <c r="I499" s="7">
        <f>MOD($H499,2^(32-$D499))*2^$D499+INT($H499/2^(32-$D499))</f>
        <v>269024344</v>
      </c>
      <c r="J499" s="7">
        <f>$M498</f>
        <v>2913850362</v>
      </c>
      <c r="K499" s="7">
        <f>MOD($K498+$I499,4294967296)</f>
        <v>2347929133</v>
      </c>
      <c r="L499" s="7">
        <f>$K498</f>
        <v>2078904789</v>
      </c>
      <c r="M499" s="7">
        <f>$L498</f>
        <v>616625539</v>
      </c>
    </row>
    <row r="500" spans="1:13">
      <c r="A500" s="7">
        <v>8</v>
      </c>
      <c r="B500" s="7">
        <v>42</v>
      </c>
      <c r="C500" s="7">
        <f>INDEX(Sheet2!$B$2:$B$65,$B500+1)</f>
        <v>3572445317</v>
      </c>
      <c r="D500" s="7">
        <f>INDEX(Sheet2!$C$2:$C$65,$B500+1)</f>
        <v>16</v>
      </c>
      <c r="E500" s="7">
        <f>INDEX(Sheet2!$D$2:$D$65,$B500+1)</f>
        <v>3</v>
      </c>
      <c r="F500" s="7">
        <f>INDEX(Sheet3!$AY$2:$BN$11,$A500,$E500+1)</f>
        <v>1953248371</v>
      </c>
      <c r="G500" s="7">
        <f>IF($B500&lt;16,_xlfn.BITOR(_xlfn.BITAND($K499,$L499),_xlfn.BITAND(4294967295-$K499,$M499)),IF($B500&lt;32,_xlfn.BITOR(_xlfn.BITAND($M499,$K499),_xlfn.BITAND(4294967295-$M499,$L499)),IF($B500&lt;48,_xlfn.BITXOR(_xlfn.BITXOR($K499,$L499),$M499),_xlfn.BITXOR($L499,_xlfn.BITOR($K499,4294967295-$M499)))))</f>
        <v>3571182203</v>
      </c>
      <c r="H500" s="7">
        <f>MOD($G500+$J499+$C500+$F500,4294967296)</f>
        <v>3420791661</v>
      </c>
      <c r="I500" s="7">
        <f>MOD($H500,2^(32-$D500))*2^$D500+INT($H500/2^(32-$D500))</f>
        <v>594398181</v>
      </c>
      <c r="J500" s="7">
        <f>$M499</f>
        <v>616625539</v>
      </c>
      <c r="K500" s="7">
        <f>MOD($K499+$I500,4294967296)</f>
        <v>2942327314</v>
      </c>
      <c r="L500" s="7">
        <f>$K499</f>
        <v>2347929133</v>
      </c>
      <c r="M500" s="7">
        <f>$L499</f>
        <v>2078904789</v>
      </c>
    </row>
    <row r="501" spans="1:13">
      <c r="A501" s="7">
        <v>8</v>
      </c>
      <c r="B501" s="7">
        <v>43</v>
      </c>
      <c r="C501" s="7">
        <f>INDEX(Sheet2!$B$2:$B$65,$B501+1)</f>
        <v>76029189</v>
      </c>
      <c r="D501" s="7">
        <f>INDEX(Sheet2!$C$2:$C$65,$B501+1)</f>
        <v>23</v>
      </c>
      <c r="E501" s="7">
        <f>INDEX(Sheet2!$D$2:$D$65,$B501+1)</f>
        <v>6</v>
      </c>
      <c r="F501" s="7">
        <f>INDEX(Sheet3!$AY$2:$BN$11,$A501,$E501+1)</f>
        <v>0</v>
      </c>
      <c r="G501" s="7">
        <f>IF($B501&lt;16,_xlfn.BITOR(_xlfn.BITAND($K500,$L500),_xlfn.BITAND(4294967295-$K500,$M500)),IF($B501&lt;32,_xlfn.BITOR(_xlfn.BITAND($M500,$K500),_xlfn.BITAND(4294967295-$M500,$L500)),IF($B501&lt;48,_xlfn.BITXOR(_xlfn.BITXOR($K500,$L500),$M500),_xlfn.BITXOR($L500,_xlfn.BITOR($K500,4294967295-$M500)))))</f>
        <v>1601914346</v>
      </c>
      <c r="H501" s="7">
        <f>MOD($G501+$J500+$C501+$F501,4294967296)</f>
        <v>2294569074</v>
      </c>
      <c r="I501" s="7">
        <f>MOD($H501,2^(32-$D501))*2^$D501+INT($H501/2^(32-$D501))</f>
        <v>960782892</v>
      </c>
      <c r="J501" s="7">
        <f>$M500</f>
        <v>2078904789</v>
      </c>
      <c r="K501" s="7">
        <f>MOD($K500+$I501,4294967296)</f>
        <v>3903110206</v>
      </c>
      <c r="L501" s="7">
        <f>$K500</f>
        <v>2942327314</v>
      </c>
      <c r="M501" s="7">
        <f>$L500</f>
        <v>2347929133</v>
      </c>
    </row>
    <row r="502" spans="1:13">
      <c r="A502" s="7">
        <v>8</v>
      </c>
      <c r="B502" s="7">
        <v>44</v>
      </c>
      <c r="C502" s="7">
        <f>INDEX(Sheet2!$B$2:$B$65,$B502+1)</f>
        <v>3654602809</v>
      </c>
      <c r="D502" s="7">
        <f>INDEX(Sheet2!$C$2:$C$65,$B502+1)</f>
        <v>4</v>
      </c>
      <c r="E502" s="7">
        <f>INDEX(Sheet2!$D$2:$D$65,$B502+1)</f>
        <v>9</v>
      </c>
      <c r="F502" s="7">
        <f>INDEX(Sheet3!$AY$2:$BN$11,$A502,$E502+1)</f>
        <v>0</v>
      </c>
      <c r="G502" s="7">
        <f>IF($B502&lt;16,_xlfn.BITOR(_xlfn.BITAND($K501,$L501),_xlfn.BITAND(4294967295-$K501,$M501)),IF($B502&lt;32,_xlfn.BITOR(_xlfn.BITAND($M501,$K501),_xlfn.BITAND(4294967295-$M501,$L501)),IF($B502&lt;48,_xlfn.BITXOR(_xlfn.BITXOR($K501,$L501),$M501),_xlfn.BITXOR($L501,_xlfn.BITOR($K501,4294967295-$M501)))))</f>
        <v>3426117633</v>
      </c>
      <c r="H502" s="7">
        <f>MOD($G502+$J501+$C502+$F502,4294967296)</f>
        <v>569690639</v>
      </c>
      <c r="I502" s="7">
        <f>MOD($H502,2^(32-$D502))*2^$D502+INT($H502/2^(32-$D502))</f>
        <v>525115634</v>
      </c>
      <c r="J502" s="7">
        <f>$M501</f>
        <v>2347929133</v>
      </c>
      <c r="K502" s="7">
        <f>MOD($K501+$I502,4294967296)</f>
        <v>133258544</v>
      </c>
      <c r="L502" s="7">
        <f>$K501</f>
        <v>3903110206</v>
      </c>
      <c r="M502" s="7">
        <f>$L501</f>
        <v>2942327314</v>
      </c>
    </row>
    <row r="503" spans="1:13">
      <c r="A503" s="7">
        <v>8</v>
      </c>
      <c r="B503" s="7">
        <v>45</v>
      </c>
      <c r="C503" s="7">
        <f>INDEX(Sheet2!$B$2:$B$65,$B503+1)</f>
        <v>3873151461</v>
      </c>
      <c r="D503" s="7">
        <f>INDEX(Sheet2!$C$2:$C$65,$B503+1)</f>
        <v>11</v>
      </c>
      <c r="E503" s="7">
        <f>INDEX(Sheet2!$D$2:$D$65,$B503+1)</f>
        <v>12</v>
      </c>
      <c r="F503" s="7">
        <f>INDEX(Sheet3!$AY$2:$BN$11,$A503,$E503+1)</f>
        <v>0</v>
      </c>
      <c r="G503" s="7">
        <f>IF($B503&lt;16,_xlfn.BITOR(_xlfn.BITAND($K502,$L502),_xlfn.BITAND(4294967295-$K502,$M502)),IF($B503&lt;32,_xlfn.BITOR(_xlfn.BITAND($M502,$K502),_xlfn.BITAND(4294967295-$M502,$L502)),IF($B503&lt;48,_xlfn.BITXOR(_xlfn.BITXOR($K502,$L502),$M502),_xlfn.BITXOR($L502,_xlfn.BITOR($K502,4294967295-$M502)))))</f>
        <v>1077263132</v>
      </c>
      <c r="H503" s="7">
        <f>MOD($G503+$J502+$C503+$F503,4294967296)</f>
        <v>3003376430</v>
      </c>
      <c r="I503" s="7">
        <f>MOD($H503,2^(32-$D503))*2^$D503+INT($H503/2^(32-$D503))</f>
        <v>521762200</v>
      </c>
      <c r="J503" s="7">
        <f>$M502</f>
        <v>2942327314</v>
      </c>
      <c r="K503" s="7">
        <f>MOD($K502+$I503,4294967296)</f>
        <v>655020744</v>
      </c>
      <c r="L503" s="7">
        <f>$K502</f>
        <v>133258544</v>
      </c>
      <c r="M503" s="7">
        <f>$L502</f>
        <v>3903110206</v>
      </c>
    </row>
    <row r="504" spans="1:13">
      <c r="A504" s="7">
        <v>8</v>
      </c>
      <c r="B504" s="7">
        <v>46</v>
      </c>
      <c r="C504" s="7">
        <f>INDEX(Sheet2!$B$2:$B$65,$B504+1)</f>
        <v>530742520</v>
      </c>
      <c r="D504" s="7">
        <f>INDEX(Sheet2!$C$2:$C$65,$B504+1)</f>
        <v>16</v>
      </c>
      <c r="E504" s="7">
        <f>INDEX(Sheet2!$D$2:$D$65,$B504+1)</f>
        <v>15</v>
      </c>
      <c r="F504" s="7">
        <f>INDEX(Sheet3!$AY$2:$BN$11,$A504,$E504+1)</f>
        <v>0</v>
      </c>
      <c r="G504" s="7">
        <f>IF($B504&lt;16,_xlfn.BITOR(_xlfn.BITAND($K503,$L503),_xlfn.BITAND(4294967295-$K503,$M503)),IF($B504&lt;32,_xlfn.BITOR(_xlfn.BITAND($M503,$K503),_xlfn.BITAND(4294967295-$M503,$L503)),IF($B504&lt;48,_xlfn.BITXOR(_xlfn.BITXOR($K503,$L503),$M503),_xlfn.BITXOR($L503,_xlfn.BITOR($K503,4294967295-$M503)))))</f>
        <v>3361682374</v>
      </c>
      <c r="H504" s="7">
        <f>MOD($G504+$J503+$C504+$F504,4294967296)</f>
        <v>2539784912</v>
      </c>
      <c r="I504" s="7">
        <f>MOD($H504,2^(32-$D504))*2^$D504+INT($H504/2^(32-$D504))</f>
        <v>181442402</v>
      </c>
      <c r="J504" s="7">
        <f>$M503</f>
        <v>3903110206</v>
      </c>
      <c r="K504" s="7">
        <f>MOD($K503+$I504,4294967296)</f>
        <v>836463146</v>
      </c>
      <c r="L504" s="7">
        <f>$K503</f>
        <v>655020744</v>
      </c>
      <c r="M504" s="7">
        <f>$L503</f>
        <v>133258544</v>
      </c>
    </row>
    <row r="505" spans="1:13">
      <c r="A505" s="7">
        <v>8</v>
      </c>
      <c r="B505" s="7">
        <v>47</v>
      </c>
      <c r="C505" s="7">
        <f>INDEX(Sheet2!$B$2:$B$65,$B505+1)</f>
        <v>3299628645</v>
      </c>
      <c r="D505" s="7">
        <f>INDEX(Sheet2!$C$2:$C$65,$B505+1)</f>
        <v>23</v>
      </c>
      <c r="E505" s="7">
        <f>INDEX(Sheet2!$D$2:$D$65,$B505+1)</f>
        <v>2</v>
      </c>
      <c r="F505" s="7">
        <f>INDEX(Sheet3!$AY$2:$BN$11,$A505,$E505+1)</f>
        <v>1601792820</v>
      </c>
      <c r="G505" s="7">
        <f>IF($B505&lt;16,_xlfn.BITOR(_xlfn.BITAND($K504,$L504),_xlfn.BITAND(4294967295-$K504,$M504)),IF($B505&lt;32,_xlfn.BITOR(_xlfn.BITAND($M504,$K504),_xlfn.BITAND(4294967295-$M504,$L504)),IF($B505&lt;48,_xlfn.BITXOR(_xlfn.BITXOR($K504,$L504),$M504),_xlfn.BITXOR($L504,_xlfn.BITOR($K504,4294967295-$M504)))))</f>
        <v>287368658</v>
      </c>
      <c r="H505" s="7">
        <f>MOD($G505+$J504+$C505+$F505,4294967296)</f>
        <v>501965737</v>
      </c>
      <c r="I505" s="7">
        <f>MOD($H505,2^(32-$D505))*2^$D505+INT($H505/2^(32-$D505))</f>
        <v>3566138801</v>
      </c>
      <c r="J505" s="7">
        <f>$M504</f>
        <v>133258544</v>
      </c>
      <c r="K505" s="7">
        <f>MOD($K504+$I505,4294967296)</f>
        <v>107634651</v>
      </c>
      <c r="L505" s="7">
        <f>$K504</f>
        <v>836463146</v>
      </c>
      <c r="M505" s="7">
        <f>$L504</f>
        <v>655020744</v>
      </c>
    </row>
    <row r="506" spans="1:13">
      <c r="A506" s="7">
        <v>8</v>
      </c>
      <c r="B506" s="7">
        <v>48</v>
      </c>
      <c r="C506" s="7">
        <f>INDEX(Sheet2!$B$2:$B$65,$B506+1)</f>
        <v>4096336452</v>
      </c>
      <c r="D506" s="7">
        <f>INDEX(Sheet2!$C$2:$C$65,$B506+1)</f>
        <v>6</v>
      </c>
      <c r="E506" s="7">
        <f>INDEX(Sheet2!$D$2:$D$65,$B506+1)</f>
        <v>0</v>
      </c>
      <c r="F506" s="7">
        <f>INDEX(Sheet3!$AY$2:$BN$11,$A506,$E506+1)</f>
        <v>1701654643</v>
      </c>
      <c r="G506" s="7">
        <f>IF($B506&lt;16,_xlfn.BITOR(_xlfn.BITAND($K505,$L505),_xlfn.BITAND(4294967295-$K505,$M505)),IF($B506&lt;32,_xlfn.BITOR(_xlfn.BITAND($M505,$K505),_xlfn.BITAND(4294967295-$M505,$L505)),IF($B506&lt;48,_xlfn.BITXOR(_xlfn.BITXOR($K505,$L505),$M505),_xlfn.BITXOR($L505,_xlfn.BITOR($K505,4294967295-$M505)))))</f>
        <v>4012119509</v>
      </c>
      <c r="H506" s="7">
        <f>MOD($G506+$J505+$C506+$F506,4294967296)</f>
        <v>1353434556</v>
      </c>
      <c r="I506" s="7">
        <f>MOD($H506,2^(32-$D506))*2^$D506+INT($H506/2^(32-$D506))</f>
        <v>720465684</v>
      </c>
      <c r="J506" s="7">
        <f>$M505</f>
        <v>655020744</v>
      </c>
      <c r="K506" s="7">
        <f>MOD($K505+$I506,4294967296)</f>
        <v>828100335</v>
      </c>
      <c r="L506" s="7">
        <f>$K505</f>
        <v>107634651</v>
      </c>
      <c r="M506" s="7">
        <f>$L505</f>
        <v>836463146</v>
      </c>
    </row>
    <row r="507" spans="1:13">
      <c r="A507" s="7">
        <v>8</v>
      </c>
      <c r="B507" s="7">
        <v>49</v>
      </c>
      <c r="C507" s="7">
        <f>INDEX(Sheet2!$B$2:$B$65,$B507+1)</f>
        <v>1126891415</v>
      </c>
      <c r="D507" s="7">
        <f>INDEX(Sheet2!$C$2:$C$65,$B507+1)</f>
        <v>10</v>
      </c>
      <c r="E507" s="7">
        <f>INDEX(Sheet2!$D$2:$D$65,$B507+1)</f>
        <v>7</v>
      </c>
      <c r="F507" s="7">
        <f>INDEX(Sheet3!$AY$2:$BN$11,$A507,$E507+1)</f>
        <v>0</v>
      </c>
      <c r="G507" s="7">
        <f>IF($B507&lt;16,_xlfn.BITOR(_xlfn.BITAND($K506,$L506),_xlfn.BITAND(4294967295-$K506,$M506)),IF($B507&lt;32,_xlfn.BITOR(_xlfn.BITAND($M506,$K506),_xlfn.BITAND(4294967295-$M506,$L506)),IF($B507&lt;48,_xlfn.BITXOR(_xlfn.BITXOR($K506,$L506),$M506),_xlfn.BITXOR($L506,_xlfn.BITOR($K506,4294967295-$M506)))))</f>
        <v>4178935844</v>
      </c>
      <c r="H507" s="7">
        <f>MOD($G507+$J506+$C507+$F507,4294967296)</f>
        <v>1665880707</v>
      </c>
      <c r="I507" s="7">
        <f>MOD($H507,2^(32-$D507))*2^$D507+INT($H507/2^(32-$D507))</f>
        <v>759827853</v>
      </c>
      <c r="J507" s="7">
        <f>$M506</f>
        <v>836463146</v>
      </c>
      <c r="K507" s="7">
        <f>MOD($K506+$I507,4294967296)</f>
        <v>1587928188</v>
      </c>
      <c r="L507" s="7">
        <f>$K506</f>
        <v>828100335</v>
      </c>
      <c r="M507" s="7">
        <f>$L506</f>
        <v>107634651</v>
      </c>
    </row>
    <row r="508" spans="1:13">
      <c r="A508" s="7">
        <v>8</v>
      </c>
      <c r="B508" s="7">
        <v>50</v>
      </c>
      <c r="C508" s="7">
        <f>INDEX(Sheet2!$B$2:$B$65,$B508+1)</f>
        <v>2878612391</v>
      </c>
      <c r="D508" s="7">
        <f>INDEX(Sheet2!$C$2:$C$65,$B508+1)</f>
        <v>15</v>
      </c>
      <c r="E508" s="7">
        <f>INDEX(Sheet2!$D$2:$D$65,$B508+1)</f>
        <v>14</v>
      </c>
      <c r="F508" s="7">
        <f>INDEX(Sheet3!$AY$2:$BN$11,$A508,$E508+1)</f>
        <v>152</v>
      </c>
      <c r="G508" s="7">
        <f>IF($B508&lt;16,_xlfn.BITOR(_xlfn.BITAND($K507,$L507),_xlfn.BITAND(4294967295-$K507,$M507)),IF($B508&lt;32,_xlfn.BITOR(_xlfn.BITAND($M507,$K507),_xlfn.BITAND(4294967295-$M507,$L507)),IF($B508&lt;48,_xlfn.BITXOR(_xlfn.BITXOR($K507,$L507),$M507),_xlfn.BITXOR($L507,_xlfn.BITOR($K507,4294967295-$M507)))))</f>
        <v>3471717011</v>
      </c>
      <c r="H508" s="7">
        <f>MOD($G508+$J507+$C508+$F508,4294967296)</f>
        <v>2891825404</v>
      </c>
      <c r="I508" s="7">
        <f>MOD($H508,2^(32-$D508))*2^$D508+INT($H508/2^(32-$D508))</f>
        <v>3766375982</v>
      </c>
      <c r="J508" s="7">
        <f>$M507</f>
        <v>107634651</v>
      </c>
      <c r="K508" s="7">
        <f>MOD($K507+$I508,4294967296)</f>
        <v>1059336874</v>
      </c>
      <c r="L508" s="7">
        <f>$K507</f>
        <v>1587928188</v>
      </c>
      <c r="M508" s="7">
        <f>$L507</f>
        <v>828100335</v>
      </c>
    </row>
    <row r="509" spans="1:13">
      <c r="A509" s="7">
        <v>8</v>
      </c>
      <c r="B509" s="7">
        <v>51</v>
      </c>
      <c r="C509" s="7">
        <f>INDEX(Sheet2!$B$2:$B$65,$B509+1)</f>
        <v>4237533241</v>
      </c>
      <c r="D509" s="7">
        <f>INDEX(Sheet2!$C$2:$C$65,$B509+1)</f>
        <v>21</v>
      </c>
      <c r="E509" s="7">
        <f>INDEX(Sheet2!$D$2:$D$65,$B509+1)</f>
        <v>5</v>
      </c>
      <c r="F509" s="7">
        <f>INDEX(Sheet3!$AY$2:$BN$11,$A509,$E509+1)</f>
        <v>0</v>
      </c>
      <c r="G509" s="7">
        <f>IF($B509&lt;16,_xlfn.BITOR(_xlfn.BITAND($K508,$L508),_xlfn.BITAND(4294967295-$K508,$M508)),IF($B509&lt;32,_xlfn.BITOR(_xlfn.BITAND($M508,$K508),_xlfn.BITAND(4294967295-$M508,$L508)),IF($B509&lt;48,_xlfn.BITXOR(_xlfn.BITXOR($K508,$L508),$M508),_xlfn.BITXOR($L508,_xlfn.BITOR($K508,4294967295-$M508)))))</f>
        <v>2701258694</v>
      </c>
      <c r="H509" s="7">
        <f>MOD($G509+$J508+$C509+$F509,4294967296)</f>
        <v>2751459290</v>
      </c>
      <c r="I509" s="7">
        <f>MOD($H509,2^(32-$D509))*2^$D509+INT($H509/2^(32-$D509))</f>
        <v>4216619005</v>
      </c>
      <c r="J509" s="7">
        <f>$M508</f>
        <v>828100335</v>
      </c>
      <c r="K509" s="7">
        <f>MOD($K508+$I509,4294967296)</f>
        <v>980988583</v>
      </c>
      <c r="L509" s="7">
        <f>$K508</f>
        <v>1059336874</v>
      </c>
      <c r="M509" s="7">
        <f>$L508</f>
        <v>1587928188</v>
      </c>
    </row>
    <row r="510" spans="1:13">
      <c r="A510" s="7">
        <v>8</v>
      </c>
      <c r="B510" s="7">
        <v>52</v>
      </c>
      <c r="C510" s="7">
        <f>INDEX(Sheet2!$B$2:$B$65,$B510+1)</f>
        <v>1700485571</v>
      </c>
      <c r="D510" s="7">
        <f>INDEX(Sheet2!$C$2:$C$65,$B510+1)</f>
        <v>6</v>
      </c>
      <c r="E510" s="7">
        <f>INDEX(Sheet2!$D$2:$D$65,$B510+1)</f>
        <v>12</v>
      </c>
      <c r="F510" s="7">
        <f>INDEX(Sheet3!$AY$2:$BN$11,$A510,$E510+1)</f>
        <v>0</v>
      </c>
      <c r="G510" s="7">
        <f>IF($B510&lt;16,_xlfn.BITOR(_xlfn.BITAND($K509,$L509),_xlfn.BITAND(4294967295-$K509,$M509)),IF($B510&lt;32,_xlfn.BITOR(_xlfn.BITAND($M509,$K509),_xlfn.BITAND(4294967295-$M509,$L509)),IF($B510&lt;48,_xlfn.BITXOR(_xlfn.BITXOR($K509,$L509),$M509),_xlfn.BITXOR($L509,_xlfn.BITOR($K509,4294967295-$M509)))))</f>
        <v>2220785933</v>
      </c>
      <c r="H510" s="7">
        <f>MOD($G510+$J509+$C510+$F510,4294967296)</f>
        <v>454404543</v>
      </c>
      <c r="I510" s="7">
        <f>MOD($H510,2^(32-$D510))*2^$D510+INT($H510/2^(32-$D510))</f>
        <v>3312086982</v>
      </c>
      <c r="J510" s="7">
        <f>$M509</f>
        <v>1587928188</v>
      </c>
      <c r="K510" s="7">
        <f>MOD($K509+$I510,4294967296)</f>
        <v>4293075565</v>
      </c>
      <c r="L510" s="7">
        <f>$K509</f>
        <v>980988583</v>
      </c>
      <c r="M510" s="7">
        <f>$L509</f>
        <v>1059336874</v>
      </c>
    </row>
    <row r="511" spans="1:13">
      <c r="A511" s="7">
        <v>8</v>
      </c>
      <c r="B511" s="7">
        <v>53</v>
      </c>
      <c r="C511" s="7">
        <f>INDEX(Sheet2!$B$2:$B$65,$B511+1)</f>
        <v>2399980690</v>
      </c>
      <c r="D511" s="7">
        <f>INDEX(Sheet2!$C$2:$C$65,$B511+1)</f>
        <v>10</v>
      </c>
      <c r="E511" s="7">
        <f>INDEX(Sheet2!$D$2:$D$65,$B511+1)</f>
        <v>3</v>
      </c>
      <c r="F511" s="7">
        <f>INDEX(Sheet3!$AY$2:$BN$11,$A511,$E511+1)</f>
        <v>1953248371</v>
      </c>
      <c r="G511" s="7">
        <f>IF($B511&lt;16,_xlfn.BITOR(_xlfn.BITAND($K510,$L510),_xlfn.BITAND(4294967295-$K510,$M510)),IF($B511&lt;32,_xlfn.BITOR(_xlfn.BITAND($M510,$K510),_xlfn.BITAND(4294967295-$M510,$L510)),IF($B511&lt;48,_xlfn.BITXOR(_xlfn.BITXOR($K510,$L510),$M510),_xlfn.BITXOR($L510,_xlfn.BITOR($K510,4294967295-$M510)))))</f>
        <v>3313720794</v>
      </c>
      <c r="H511" s="7">
        <f>MOD($G511+$J510+$C511+$F511,4294967296)</f>
        <v>664943451</v>
      </c>
      <c r="I511" s="7">
        <f>MOD($H511,2^(32-$D511))*2^$D511+INT($H511/2^(32-$D511))</f>
        <v>2297261214</v>
      </c>
      <c r="J511" s="7">
        <f>$M510</f>
        <v>1059336874</v>
      </c>
      <c r="K511" s="7">
        <f>MOD($K510+$I511,4294967296)</f>
        <v>2295369483</v>
      </c>
      <c r="L511" s="7">
        <f>$K510</f>
        <v>4293075565</v>
      </c>
      <c r="M511" s="7">
        <f>$L510</f>
        <v>980988583</v>
      </c>
    </row>
    <row r="512" spans="1:13">
      <c r="A512" s="7">
        <v>8</v>
      </c>
      <c r="B512" s="7">
        <v>54</v>
      </c>
      <c r="C512" s="7">
        <f>INDEX(Sheet2!$B$2:$B$65,$B512+1)</f>
        <v>4293915773</v>
      </c>
      <c r="D512" s="7">
        <f>INDEX(Sheet2!$C$2:$C$65,$B512+1)</f>
        <v>15</v>
      </c>
      <c r="E512" s="7">
        <f>INDEX(Sheet2!$D$2:$D$65,$B512+1)</f>
        <v>10</v>
      </c>
      <c r="F512" s="7">
        <f>INDEX(Sheet3!$AY$2:$BN$11,$A512,$E512+1)</f>
        <v>0</v>
      </c>
      <c r="G512" s="7">
        <f>IF($B512&lt;16,_xlfn.BITOR(_xlfn.BITAND($K511,$L511),_xlfn.BITAND(4294967295-$K511,$M511)),IF($B512&lt;32,_xlfn.BITOR(_xlfn.BITAND($M511,$K511),_xlfn.BITAND(4294967295-$M511,$L511)),IF($B512&lt;48,_xlfn.BITXOR(_xlfn.BITXOR($K511,$L511),$M511),_xlfn.BITXOR($L511,_xlfn.BITOR($K511,4294967295-$M511)))))</f>
        <v>842329398</v>
      </c>
      <c r="H512" s="7">
        <f>MOD($G512+$J511+$C512+$F512,4294967296)</f>
        <v>1900614749</v>
      </c>
      <c r="I512" s="7">
        <f>MOD($H512,2^(32-$D512))*2^$D512+INT($H512/2^(32-$D512))</f>
        <v>2318317732</v>
      </c>
      <c r="J512" s="7">
        <f>$M511</f>
        <v>980988583</v>
      </c>
      <c r="K512" s="7">
        <f>MOD($K511+$I512,4294967296)</f>
        <v>318719919</v>
      </c>
      <c r="L512" s="7">
        <f>$K511</f>
        <v>2295369483</v>
      </c>
      <c r="M512" s="7">
        <f>$L511</f>
        <v>4293075565</v>
      </c>
    </row>
    <row r="513" spans="1:13">
      <c r="A513" s="7">
        <v>8</v>
      </c>
      <c r="B513" s="7">
        <v>55</v>
      </c>
      <c r="C513" s="7">
        <f>INDEX(Sheet2!$B$2:$B$65,$B513+1)</f>
        <v>2240044497</v>
      </c>
      <c r="D513" s="7">
        <f>INDEX(Sheet2!$C$2:$C$65,$B513+1)</f>
        <v>21</v>
      </c>
      <c r="E513" s="7">
        <f>INDEX(Sheet2!$D$2:$D$65,$B513+1)</f>
        <v>1</v>
      </c>
      <c r="F513" s="7">
        <f>INDEX(Sheet3!$AY$2:$BN$11,$A513,$E513+1)</f>
        <v>862876511</v>
      </c>
      <c r="G513" s="7">
        <f>IF($B513&lt;16,_xlfn.BITOR(_xlfn.BITAND($K512,$L512),_xlfn.BITAND(4294967295-$K512,$M512)),IF($B513&lt;32,_xlfn.BITOR(_xlfn.BITAND($M512,$K512),_xlfn.BITAND(4294967295-$M512,$L512)),IF($B513&lt;48,_xlfn.BITXOR(_xlfn.BITXOR($K512,$L512),$M512),_xlfn.BITXOR($L512,_xlfn.BITOR($K512,4294967295-$M512)))))</f>
        <v>2586792116</v>
      </c>
      <c r="H513" s="7">
        <f>MOD($G513+$J512+$C513+$F513,4294967296)</f>
        <v>2375734411</v>
      </c>
      <c r="I513" s="7">
        <f>MOD($H513,2^(32-$D513))*2^$D513+INT($H513/2^(32-$D513))</f>
        <v>2440147802</v>
      </c>
      <c r="J513" s="7">
        <f>$M512</f>
        <v>4293075565</v>
      </c>
      <c r="K513" s="7">
        <f>MOD($K512+$I513,4294967296)</f>
        <v>2758867721</v>
      </c>
      <c r="L513" s="7">
        <f>$K512</f>
        <v>318719919</v>
      </c>
      <c r="M513" s="7">
        <f>$L512</f>
        <v>2295369483</v>
      </c>
    </row>
    <row r="514" spans="1:13">
      <c r="A514" s="7">
        <v>8</v>
      </c>
      <c r="B514" s="7">
        <v>56</v>
      </c>
      <c r="C514" s="7">
        <f>INDEX(Sheet2!$B$2:$B$65,$B514+1)</f>
        <v>1873313359</v>
      </c>
      <c r="D514" s="7">
        <f>INDEX(Sheet2!$C$2:$C$65,$B514+1)</f>
        <v>6</v>
      </c>
      <c r="E514" s="7">
        <f>INDEX(Sheet2!$D$2:$D$65,$B514+1)</f>
        <v>8</v>
      </c>
      <c r="F514" s="7">
        <f>INDEX(Sheet3!$AY$2:$BN$11,$A514,$E514+1)</f>
        <v>0</v>
      </c>
      <c r="G514" s="7">
        <f>IF($B514&lt;16,_xlfn.BITOR(_xlfn.BITAND($K513,$L513),_xlfn.BITAND(4294967295-$K513,$M513)),IF($B514&lt;32,_xlfn.BITOR(_xlfn.BITAND($M513,$K513),_xlfn.BITAND(4294967295-$M513,$L513)),IF($B514&lt;48,_xlfn.BITXOR(_xlfn.BITXOR($K513,$L513),$M513),_xlfn.BITXOR($L513,_xlfn.BITOR($K513,4294967295-$M513)))))</f>
        <v>3850419282</v>
      </c>
      <c r="H514" s="7">
        <f>MOD($G514+$J513+$C514+$F514,4294967296)</f>
        <v>1426873614</v>
      </c>
      <c r="I514" s="7">
        <f>MOD($H514,2^(32-$D514))*2^$D514+INT($H514/2^(32-$D514))</f>
        <v>1125598101</v>
      </c>
      <c r="J514" s="7">
        <f>$M513</f>
        <v>2295369483</v>
      </c>
      <c r="K514" s="7">
        <f>MOD($K513+$I514,4294967296)</f>
        <v>3884465822</v>
      </c>
      <c r="L514" s="7">
        <f>$K513</f>
        <v>2758867721</v>
      </c>
      <c r="M514" s="7">
        <f>$L513</f>
        <v>318719919</v>
      </c>
    </row>
    <row r="515" spans="1:13">
      <c r="A515" s="7">
        <v>8</v>
      </c>
      <c r="B515" s="7">
        <v>57</v>
      </c>
      <c r="C515" s="7">
        <f>INDEX(Sheet2!$B$2:$B$65,$B515+1)</f>
        <v>4264355552</v>
      </c>
      <c r="D515" s="7">
        <f>INDEX(Sheet2!$C$2:$C$65,$B515+1)</f>
        <v>10</v>
      </c>
      <c r="E515" s="7">
        <f>INDEX(Sheet2!$D$2:$D$65,$B515+1)</f>
        <v>15</v>
      </c>
      <c r="F515" s="7">
        <f>INDEX(Sheet3!$AY$2:$BN$11,$A515,$E515+1)</f>
        <v>0</v>
      </c>
      <c r="G515" s="7">
        <f>IF($B515&lt;16,_xlfn.BITOR(_xlfn.BITAND($K514,$L514),_xlfn.BITAND(4294967295-$K514,$M514)),IF($B515&lt;32,_xlfn.BITOR(_xlfn.BITAND($M514,$K514),_xlfn.BITAND(4294967295-$M514,$L514)),IF($B515&lt;48,_xlfn.BITXOR(_xlfn.BITXOR($K514,$L514),$M514),_xlfn.BITXOR($L514,_xlfn.BITOR($K514,4294967295-$M514)))))</f>
        <v>1274562007</v>
      </c>
      <c r="H515" s="7">
        <f>MOD($G515+$J514+$C515+$F515,4294967296)</f>
        <v>3539319746</v>
      </c>
      <c r="I515" s="7">
        <f>MOD($H515,2^(32-$D515))*2^$D515+INT($H515/2^(32-$D515))</f>
        <v>3605990219</v>
      </c>
      <c r="J515" s="7">
        <f>$M514</f>
        <v>318719919</v>
      </c>
      <c r="K515" s="7">
        <f>MOD($K514+$I515,4294967296)</f>
        <v>3195488745</v>
      </c>
      <c r="L515" s="7">
        <f>$K514</f>
        <v>3884465822</v>
      </c>
      <c r="M515" s="7">
        <f>$L514</f>
        <v>2758867721</v>
      </c>
    </row>
    <row r="516" spans="1:13">
      <c r="A516" s="7">
        <v>8</v>
      </c>
      <c r="B516" s="7">
        <v>58</v>
      </c>
      <c r="C516" s="7">
        <f>INDEX(Sheet2!$B$2:$B$65,$B516+1)</f>
        <v>2734768916</v>
      </c>
      <c r="D516" s="7">
        <f>INDEX(Sheet2!$C$2:$C$65,$B516+1)</f>
        <v>15</v>
      </c>
      <c r="E516" s="7">
        <f>INDEX(Sheet2!$D$2:$D$65,$B516+1)</f>
        <v>6</v>
      </c>
      <c r="F516" s="7">
        <f>INDEX(Sheet3!$AY$2:$BN$11,$A516,$E516+1)</f>
        <v>0</v>
      </c>
      <c r="G516" s="7">
        <f>IF($B516&lt;16,_xlfn.BITOR(_xlfn.BITAND($K515,$L515),_xlfn.BITAND(4294967295-$K515,$M515)),IF($B516&lt;32,_xlfn.BITOR(_xlfn.BITAND($M515,$K515),_xlfn.BITAND(4294967295-$M515,$L515)),IF($B516&lt;48,_xlfn.BITXOR(_xlfn.BITXOR($K515,$L515),$M515),_xlfn.BITXOR($L515,_xlfn.BITOR($K515,4294967295-$M515)))))</f>
        <v>410481505</v>
      </c>
      <c r="H516" s="7">
        <f>MOD($G516+$J515+$C516+$F516,4294967296)</f>
        <v>3463970340</v>
      </c>
      <c r="I516" s="7">
        <f>MOD($H516,2^(32-$D516))*2^$D516+INT($H516/2^(32-$D516))</f>
        <v>4279396155</v>
      </c>
      <c r="J516" s="7">
        <f>$M515</f>
        <v>2758867721</v>
      </c>
      <c r="K516" s="7">
        <f>MOD($K515+$I516,4294967296)</f>
        <v>3179917604</v>
      </c>
      <c r="L516" s="7">
        <f>$K515</f>
        <v>3195488745</v>
      </c>
      <c r="M516" s="7">
        <f>$L515</f>
        <v>3884465822</v>
      </c>
    </row>
    <row r="517" spans="1:13">
      <c r="A517" s="7">
        <v>8</v>
      </c>
      <c r="B517" s="7">
        <v>59</v>
      </c>
      <c r="C517" s="7">
        <f>INDEX(Sheet2!$B$2:$B$65,$B517+1)</f>
        <v>1309151649</v>
      </c>
      <c r="D517" s="7">
        <f>INDEX(Sheet2!$C$2:$C$65,$B517+1)</f>
        <v>21</v>
      </c>
      <c r="E517" s="7">
        <f>INDEX(Sheet2!$D$2:$D$65,$B517+1)</f>
        <v>13</v>
      </c>
      <c r="F517" s="7">
        <f>INDEX(Sheet3!$AY$2:$BN$11,$A517,$E517+1)</f>
        <v>0</v>
      </c>
      <c r="G517" s="7">
        <f>IF($B517&lt;16,_xlfn.BITOR(_xlfn.BITAND($K516,$L516),_xlfn.BITAND(4294967295-$K516,$M516)),IF($B517&lt;32,_xlfn.BITOR(_xlfn.BITAND($M516,$K516),_xlfn.BITAND(4294967295-$M516,$L516)),IF($B517&lt;48,_xlfn.BITXOR(_xlfn.BITXOR($K516,$L516),$M516),_xlfn.BITXOR($L516,_xlfn.BITOR($K516,4294967295-$M516)))))</f>
        <v>59291788</v>
      </c>
      <c r="H517" s="7">
        <f>MOD($G517+$J516+$C517+$F517,4294967296)</f>
        <v>4127311158</v>
      </c>
      <c r="I517" s="7">
        <f>MOD($H517,2^(32-$D517))*2^$D517+INT($H517/2^(32-$D517))</f>
        <v>2799616056</v>
      </c>
      <c r="J517" s="7">
        <f>$M516</f>
        <v>3884465822</v>
      </c>
      <c r="K517" s="7">
        <f>MOD($K516+$I517,4294967296)</f>
        <v>1684566364</v>
      </c>
      <c r="L517" s="7">
        <f>$K516</f>
        <v>3179917604</v>
      </c>
      <c r="M517" s="7">
        <f>$L516</f>
        <v>3195488745</v>
      </c>
    </row>
    <row r="518" spans="1:13">
      <c r="A518" s="7">
        <v>8</v>
      </c>
      <c r="B518" s="7">
        <v>60</v>
      </c>
      <c r="C518" s="7">
        <f>INDEX(Sheet2!$B$2:$B$65,$B518+1)</f>
        <v>4149444226</v>
      </c>
      <c r="D518" s="7">
        <f>INDEX(Sheet2!$C$2:$C$65,$B518+1)</f>
        <v>6</v>
      </c>
      <c r="E518" s="7">
        <f>INDEX(Sheet2!$D$2:$D$65,$B518+1)</f>
        <v>4</v>
      </c>
      <c r="F518" s="7">
        <f>INDEX(Sheet3!$AY$2:$BN$11,$A518,$E518+1)</f>
        <v>2151628607</v>
      </c>
      <c r="G518" s="7">
        <f>IF($B518&lt;16,_xlfn.BITOR(_xlfn.BITAND($K517,$L517),_xlfn.BITAND(4294967295-$K517,$M517)),IF($B518&lt;32,_xlfn.BITOR(_xlfn.BITAND($M517,$K517),_xlfn.BITAND(4294967295-$M517,$L517)),IF($B518&lt;48,_xlfn.BITXOR(_xlfn.BITXOR($K517,$L517),$M517),_xlfn.BITXOR($L517,_xlfn.BITOR($K517,4294967295-$M517)))))</f>
        <v>3630253690</v>
      </c>
      <c r="H518" s="7">
        <f>MOD($G518+$J517+$C518+$F518,4294967296)</f>
        <v>930890457</v>
      </c>
      <c r="I518" s="7">
        <f>MOD($H518,2^(32-$D518))*2^$D518+INT($H518/2^(32-$D518))</f>
        <v>3742414413</v>
      </c>
      <c r="J518" s="7">
        <f>$M517</f>
        <v>3195488745</v>
      </c>
      <c r="K518" s="7">
        <f>MOD($K517+$I518,4294967296)</f>
        <v>1132013481</v>
      </c>
      <c r="L518" s="7">
        <f>$K517</f>
        <v>1684566364</v>
      </c>
      <c r="M518" s="7">
        <f>$L517</f>
        <v>3179917604</v>
      </c>
    </row>
    <row r="519" spans="1:13">
      <c r="A519" s="7">
        <v>8</v>
      </c>
      <c r="B519" s="7">
        <v>61</v>
      </c>
      <c r="C519" s="7">
        <f>INDEX(Sheet2!$B$2:$B$65,$B519+1)</f>
        <v>3174756917</v>
      </c>
      <c r="D519" s="7">
        <f>INDEX(Sheet2!$C$2:$C$65,$B519+1)</f>
        <v>10</v>
      </c>
      <c r="E519" s="7">
        <f>INDEX(Sheet2!$D$2:$D$65,$B519+1)</f>
        <v>11</v>
      </c>
      <c r="F519" s="7">
        <f>INDEX(Sheet3!$AY$2:$BN$11,$A519,$E519+1)</f>
        <v>0</v>
      </c>
      <c r="G519" s="7">
        <f>IF($B519&lt;16,_xlfn.BITOR(_xlfn.BITAND($K518,$L518),_xlfn.BITAND(4294967295-$K518,$M518)),IF($B519&lt;32,_xlfn.BITOR(_xlfn.BITAND($M518,$K518),_xlfn.BITAND(4294967295-$M518,$L518)),IF($B519&lt;48,_xlfn.BITXOR(_xlfn.BITXOR($K518,$L518),$M518),_xlfn.BITXOR($L518,_xlfn.BITOR($K518,4294967295-$M518)))))</f>
        <v>655826599</v>
      </c>
      <c r="H519" s="7">
        <f>MOD($G519+$J518+$C519+$F519,4294967296)</f>
        <v>2731104965</v>
      </c>
      <c r="I519" s="7">
        <f>MOD($H519,2^(32-$D519))*2^$D519+INT($H519/2^(32-$D519))</f>
        <v>627775115</v>
      </c>
      <c r="J519" s="7">
        <f>$M518</f>
        <v>3179917604</v>
      </c>
      <c r="K519" s="7">
        <f>MOD($K518+$I519,4294967296)</f>
        <v>1759788596</v>
      </c>
      <c r="L519" s="7">
        <f>$K518</f>
        <v>1132013481</v>
      </c>
      <c r="M519" s="7">
        <f>$L518</f>
        <v>1684566364</v>
      </c>
    </row>
    <row r="520" spans="1:13">
      <c r="A520" s="7">
        <v>8</v>
      </c>
      <c r="B520" s="7">
        <v>62</v>
      </c>
      <c r="C520" s="7">
        <f>INDEX(Sheet2!$B$2:$B$65,$B520+1)</f>
        <v>718787259</v>
      </c>
      <c r="D520" s="7">
        <f>INDEX(Sheet2!$C$2:$C$65,$B520+1)</f>
        <v>15</v>
      </c>
      <c r="E520" s="7">
        <f>INDEX(Sheet2!$D$2:$D$65,$B520+1)</f>
        <v>2</v>
      </c>
      <c r="F520" s="7">
        <f>INDEX(Sheet3!$AY$2:$BN$11,$A520,$E520+1)</f>
        <v>1601792820</v>
      </c>
      <c r="G520" s="7">
        <f>IF($B520&lt;16,_xlfn.BITOR(_xlfn.BITAND($K519,$L519),_xlfn.BITAND(4294967295-$K519,$M519)),IF($B520&lt;32,_xlfn.BITOR(_xlfn.BITAND($M519,$K519),_xlfn.BITAND(4294967295-$M519,$L519)),IF($B520&lt;48,_xlfn.BITXOR(_xlfn.BITXOR($K519,$L519),$M519),_xlfn.BITXOR($L519,_xlfn.BITOR($K519,4294967295-$M519)))))</f>
        <v>3096353054</v>
      </c>
      <c r="H520" s="7">
        <f>MOD($G520+$J519+$C520+$F520,4294967296)</f>
        <v>6916145</v>
      </c>
      <c r="I520" s="7">
        <f>MOD($H520,2^(32-$D520))*2^$D520+INT($H520/2^(32-$D520))</f>
        <v>3289940020</v>
      </c>
      <c r="J520" s="7">
        <f>$M519</f>
        <v>1684566364</v>
      </c>
      <c r="K520" s="7">
        <f>MOD($K519+$I520,4294967296)</f>
        <v>754761320</v>
      </c>
      <c r="L520" s="7">
        <f>$K519</f>
        <v>1759788596</v>
      </c>
      <c r="M520" s="7">
        <f>$L519</f>
        <v>1132013481</v>
      </c>
    </row>
    <row r="521" spans="1:13">
      <c r="A521" s="7">
        <v>8</v>
      </c>
      <c r="B521" s="7">
        <v>63</v>
      </c>
      <c r="C521" s="7">
        <f>INDEX(Sheet2!$B$2:$B$65,$B521+1)</f>
        <v>3951481745</v>
      </c>
      <c r="D521" s="7">
        <f>INDEX(Sheet2!$C$2:$C$65,$B521+1)</f>
        <v>21</v>
      </c>
      <c r="E521" s="7">
        <f>INDEX(Sheet2!$D$2:$D$65,$B521+1)</f>
        <v>9</v>
      </c>
      <c r="F521" s="7">
        <f>INDEX(Sheet3!$AY$2:$BN$11,$A521,$E521+1)</f>
        <v>0</v>
      </c>
      <c r="G521" s="7">
        <f>IF($B521&lt;16,_xlfn.BITOR(_xlfn.BITAND($K520,$L520),_xlfn.BITAND(4294967295-$K520,$M520)),IF($B521&lt;32,_xlfn.BITOR(_xlfn.BITAND($M520,$K520),_xlfn.BITAND(4294967295-$M520,$L520)),IF($B521&lt;48,_xlfn.BITXOR(_xlfn.BITXOR($K520,$L520),$M520),_xlfn.BITXOR($L520,_xlfn.BITOR($K520,4294967295-$M520)))))</f>
        <v>3558522954</v>
      </c>
      <c r="H521" s="7">
        <f>MOD($G521+$J520+$C521+$F521,4294967296)</f>
        <v>604636471</v>
      </c>
      <c r="I521" s="7">
        <f>MOD($H521,2^(32-$D521))*2^$D521+INT($H521/2^(32-$D521))</f>
        <v>2799993152</v>
      </c>
      <c r="J521" s="7">
        <f>$M520</f>
        <v>1132013481</v>
      </c>
      <c r="K521" s="7">
        <f>MOD($K520+$I521,4294967296)</f>
        <v>3554754472</v>
      </c>
      <c r="L521" s="7">
        <f>$K520</f>
        <v>754761320</v>
      </c>
      <c r="M521" s="7">
        <f>$L520</f>
        <v>1759788596</v>
      </c>
    </row>
    <row r="522" spans="1:13">
      <c r="A522" s="8">
        <v>9</v>
      </c>
      <c r="B522" s="8">
        <v>-1</v>
      </c>
      <c r="J522" s="8">
        <v>1732584193</v>
      </c>
      <c r="K522" s="8">
        <v>4023233417</v>
      </c>
      <c r="L522" s="8">
        <v>2562383102</v>
      </c>
      <c r="M522" s="8">
        <v>271733878</v>
      </c>
    </row>
    <row r="523" spans="1:13">
      <c r="A523" s="7">
        <v>9</v>
      </c>
      <c r="B523" s="7">
        <v>0</v>
      </c>
      <c r="C523" s="7">
        <f>INDEX(Sheet2!$B$2:$B$65,$B523+1)</f>
        <v>3614090360</v>
      </c>
      <c r="D523" s="7">
        <f>INDEX(Sheet2!$C$2:$C$65,$B523+1)</f>
        <v>7</v>
      </c>
      <c r="E523" s="7">
        <f>INDEX(Sheet2!$D$2:$D$65,$B523+1)</f>
        <v>0</v>
      </c>
      <c r="F523" s="7">
        <f>INDEX(Sheet3!$AY$2:$BN$11,$A523,$E523+1)</f>
        <v>1701654643</v>
      </c>
      <c r="G523" s="7">
        <f>IF($B523&lt;16,_xlfn.BITOR(_xlfn.BITAND($K522,$L522),_xlfn.BITAND(4294967295-$K522,$M522)),IF($B523&lt;32,_xlfn.BITOR(_xlfn.BITAND($M522,$K522),_xlfn.BITAND(4294967295-$M522,$L522)),IF($B523&lt;48,_xlfn.BITXOR(_xlfn.BITXOR($K522,$L522),$M522),_xlfn.BITXOR($L522,_xlfn.BITOR($K522,4294967295-$M522)))))</f>
        <v>2562383102</v>
      </c>
      <c r="H523" s="7">
        <f>MOD($G523+$J522+$C523+$F523,4294967296)</f>
        <v>1020777706</v>
      </c>
      <c r="I523" s="7">
        <f>MOD($H523,2^(32-$D523))*2^$D523+INT($H523/2^(32-$D523))</f>
        <v>1810527518</v>
      </c>
      <c r="J523" s="7">
        <f>$M522</f>
        <v>271733878</v>
      </c>
      <c r="K523" s="7">
        <f>MOD($K522+$I523,4294967296)</f>
        <v>1538793639</v>
      </c>
      <c r="L523" s="7">
        <f>$K522</f>
        <v>4023233417</v>
      </c>
      <c r="M523" s="7">
        <f>$L522</f>
        <v>2562383102</v>
      </c>
    </row>
    <row r="524" spans="1:13">
      <c r="A524" s="7">
        <v>9</v>
      </c>
      <c r="B524" s="7">
        <v>1</v>
      </c>
      <c r="C524" s="7">
        <f>INDEX(Sheet2!$B$2:$B$65,$B524+1)</f>
        <v>3905402710</v>
      </c>
      <c r="D524" s="7">
        <f>INDEX(Sheet2!$C$2:$C$65,$B524+1)</f>
        <v>12</v>
      </c>
      <c r="E524" s="7">
        <f>INDEX(Sheet2!$D$2:$D$65,$B524+1)</f>
        <v>1</v>
      </c>
      <c r="F524" s="7">
        <f>INDEX(Sheet3!$AY$2:$BN$11,$A524,$E524+1)</f>
        <v>862876511</v>
      </c>
      <c r="G524" s="7">
        <f>IF($B524&lt;16,_xlfn.BITOR(_xlfn.BITAND($K523,$L523),_xlfn.BITAND(4294967295-$K523,$M523)),IF($B524&lt;32,_xlfn.BITOR(_xlfn.BITAND($M523,$K523),_xlfn.BITAND(4294967295-$M523,$L523)),IF($B524&lt;48,_xlfn.BITXOR(_xlfn.BITXOR($K523,$L523),$M523),_xlfn.BITXOR($L523,_xlfn.BITOR($K523,4294967295-$M523)))))</f>
        <v>3414883545</v>
      </c>
      <c r="H524" s="7">
        <f>MOD($G524+$J523+$C524+$F524,4294967296)</f>
        <v>4159929348</v>
      </c>
      <c r="I524" s="7">
        <f>MOD($H524,2^(32-$D524))*2^$D524+INT($H524/2^(32-$D524))</f>
        <v>935350143</v>
      </c>
      <c r="J524" s="7">
        <f>$M523</f>
        <v>2562383102</v>
      </c>
      <c r="K524" s="7">
        <f>MOD($K523+$I524,4294967296)</f>
        <v>2474143782</v>
      </c>
      <c r="L524" s="7">
        <f>$K523</f>
        <v>1538793639</v>
      </c>
      <c r="M524" s="7">
        <f>$L523</f>
        <v>4023233417</v>
      </c>
    </row>
    <row r="525" spans="1:13">
      <c r="A525" s="7">
        <v>9</v>
      </c>
      <c r="B525" s="7">
        <v>2</v>
      </c>
      <c r="C525" s="7">
        <f>INDEX(Sheet2!$B$2:$B$65,$B525+1)</f>
        <v>606105819</v>
      </c>
      <c r="D525" s="7">
        <f>INDEX(Sheet2!$C$2:$C$65,$B525+1)</f>
        <v>17</v>
      </c>
      <c r="E525" s="7">
        <f>INDEX(Sheet2!$D$2:$D$65,$B525+1)</f>
        <v>2</v>
      </c>
      <c r="F525" s="7">
        <f>INDEX(Sheet3!$AY$2:$BN$11,$A525,$E525+1)</f>
        <v>1601792820</v>
      </c>
      <c r="G525" s="7">
        <f>IF($B525&lt;16,_xlfn.BITOR(_xlfn.BITAND($K524,$L524),_xlfn.BITAND(4294967295-$K524,$M524)),IF($B525&lt;32,_xlfn.BITOR(_xlfn.BITAND($M524,$K524),_xlfn.BITAND(4294967295-$M524,$L524)),IF($B525&lt;48,_xlfn.BITXOR(_xlfn.BITXOR($K524,$L524),$M524),_xlfn.BITXOR($L524,_xlfn.BITOR($K524,4294967295-$M524)))))</f>
        <v>2143136687</v>
      </c>
      <c r="H525" s="7">
        <f>MOD($G525+$J524+$C525+$F525,4294967296)</f>
        <v>2618451132</v>
      </c>
      <c r="I525" s="7">
        <f>MOD($H525,2^(32-$D525))*2^$D525+INT($H525/2^(32-$D525))</f>
        <v>3380164644</v>
      </c>
      <c r="J525" s="7">
        <f>$M524</f>
        <v>4023233417</v>
      </c>
      <c r="K525" s="7">
        <f>MOD($K524+$I525,4294967296)</f>
        <v>1559341130</v>
      </c>
      <c r="L525" s="7">
        <f>$K524</f>
        <v>2474143782</v>
      </c>
      <c r="M525" s="7">
        <f>$L524</f>
        <v>1538793639</v>
      </c>
    </row>
    <row r="526" spans="1:13">
      <c r="A526" s="7">
        <v>9</v>
      </c>
      <c r="B526" s="7">
        <v>3</v>
      </c>
      <c r="C526" s="7">
        <f>INDEX(Sheet2!$B$2:$B$65,$B526+1)</f>
        <v>3250441966</v>
      </c>
      <c r="D526" s="7">
        <f>INDEX(Sheet2!$C$2:$C$65,$B526+1)</f>
        <v>22</v>
      </c>
      <c r="E526" s="7">
        <f>INDEX(Sheet2!$D$2:$D$65,$B526+1)</f>
        <v>3</v>
      </c>
      <c r="F526" s="7">
        <f>INDEX(Sheet3!$AY$2:$BN$11,$A526,$E526+1)</f>
        <v>1953248371</v>
      </c>
      <c r="G526" s="7">
        <f>IF($B526&lt;16,_xlfn.BITOR(_xlfn.BITAND($K525,$L525),_xlfn.BITAND(4294967295-$K525,$M525)),IF($B526&lt;32,_xlfn.BITOR(_xlfn.BITAND($M525,$K525),_xlfn.BITAND(4294967295-$M525,$L525)),IF($B526&lt;48,_xlfn.BITXOR(_xlfn.BITXOR($K525,$L525),$M525),_xlfn.BITXOR($L525,_xlfn.BITOR($K525,4294967295-$M525)))))</f>
        <v>326639783</v>
      </c>
      <c r="H526" s="7">
        <f>MOD($G526+$J525+$C526+$F526,4294967296)</f>
        <v>963628945</v>
      </c>
      <c r="I526" s="7">
        <f>MOD($H526,2^(32-$D526))*2^$D526+INT($H526/2^(32-$D526))</f>
        <v>3830340595</v>
      </c>
      <c r="J526" s="7">
        <f>$M525</f>
        <v>1538793639</v>
      </c>
      <c r="K526" s="7">
        <f>MOD($K525+$I526,4294967296)</f>
        <v>1094714429</v>
      </c>
      <c r="L526" s="7">
        <f>$K525</f>
        <v>1559341130</v>
      </c>
      <c r="M526" s="7">
        <f>$L525</f>
        <v>2474143782</v>
      </c>
    </row>
    <row r="527" spans="1:13">
      <c r="A527" s="7">
        <v>9</v>
      </c>
      <c r="B527" s="7">
        <v>4</v>
      </c>
      <c r="C527" s="7">
        <f>INDEX(Sheet2!$B$2:$B$65,$B527+1)</f>
        <v>4118548399</v>
      </c>
      <c r="D527" s="7">
        <f>INDEX(Sheet2!$C$2:$C$65,$B527+1)</f>
        <v>7</v>
      </c>
      <c r="E527" s="7">
        <f>INDEX(Sheet2!$D$2:$D$65,$B527+1)</f>
        <v>4</v>
      </c>
      <c r="F527" s="7">
        <f>INDEX(Sheet3!$AY$2:$BN$11,$A527,$E527+1)</f>
        <v>2151628607</v>
      </c>
      <c r="G527" s="7">
        <f>IF($B527&lt;16,_xlfn.BITOR(_xlfn.BITAND($K526,$L526),_xlfn.BITAND(4294967295-$K526,$M526)),IF($B527&lt;32,_xlfn.BITOR(_xlfn.BITAND($M526,$K526),_xlfn.BITAND(4294967295-$M526,$L526)),IF($B527&lt;48,_xlfn.BITXOR(_xlfn.BITXOR($K526,$L526),$M526),_xlfn.BITXOR($L526,_xlfn.BITOR($K526,4294967295-$M526)))))</f>
        <v>3531108362</v>
      </c>
      <c r="H527" s="7">
        <f>MOD($G527+$J526+$C527+$F527,4294967296)</f>
        <v>2750144415</v>
      </c>
      <c r="I527" s="7">
        <f>MOD($H527,2^(32-$D527))*2^$D527+INT($H527/2^(32-$D527))</f>
        <v>4126134225</v>
      </c>
      <c r="J527" s="7">
        <f>$M526</f>
        <v>2474143782</v>
      </c>
      <c r="K527" s="7">
        <f>MOD($K526+$I527,4294967296)</f>
        <v>925881358</v>
      </c>
      <c r="L527" s="7">
        <f>$K526</f>
        <v>1094714429</v>
      </c>
      <c r="M527" s="7">
        <f>$L526</f>
        <v>1559341130</v>
      </c>
    </row>
    <row r="528" spans="1:13">
      <c r="A528" s="7">
        <v>9</v>
      </c>
      <c r="B528" s="7">
        <v>5</v>
      </c>
      <c r="C528" s="7">
        <f>INDEX(Sheet2!$B$2:$B$65,$B528+1)</f>
        <v>1200080426</v>
      </c>
      <c r="D528" s="7">
        <f>INDEX(Sheet2!$C$2:$C$65,$B528+1)</f>
        <v>12</v>
      </c>
      <c r="E528" s="7">
        <f>INDEX(Sheet2!$D$2:$D$65,$B528+1)</f>
        <v>5</v>
      </c>
      <c r="F528" s="7">
        <f>INDEX(Sheet3!$AY$2:$BN$11,$A528,$E528+1)</f>
        <v>0</v>
      </c>
      <c r="G528" s="7">
        <f>IF($B528&lt;16,_xlfn.BITOR(_xlfn.BITAND($K527,$L527),_xlfn.BITAND(4294967295-$K527,$M527)),IF($B528&lt;32,_xlfn.BITOR(_xlfn.BITAND($M527,$K527),_xlfn.BITAND(4294967295-$M527,$L527)),IF($B528&lt;48,_xlfn.BITXOR(_xlfn.BITXOR($K527,$L527),$M527),_xlfn.BITXOR($L527,_xlfn.BITOR($K527,4294967295-$M527)))))</f>
        <v>1238379596</v>
      </c>
      <c r="H528" s="7">
        <f>MOD($G528+$J527+$C528+$F528,4294967296)</f>
        <v>617636508</v>
      </c>
      <c r="I528" s="7">
        <f>MOD($H528,2^(32-$D528))*2^$D528+INT($H528/2^(32-$D528))</f>
        <v>103400013</v>
      </c>
      <c r="J528" s="7">
        <f>$M527</f>
        <v>1559341130</v>
      </c>
      <c r="K528" s="7">
        <f>MOD($K527+$I528,4294967296)</f>
        <v>1029281371</v>
      </c>
      <c r="L528" s="7">
        <f>$K527</f>
        <v>925881358</v>
      </c>
      <c r="M528" s="7">
        <f>$L527</f>
        <v>1094714429</v>
      </c>
    </row>
    <row r="529" spans="1:13">
      <c r="A529" s="7">
        <v>9</v>
      </c>
      <c r="B529" s="7">
        <v>6</v>
      </c>
      <c r="C529" s="7">
        <f>INDEX(Sheet2!$B$2:$B$65,$B529+1)</f>
        <v>2821735955</v>
      </c>
      <c r="D529" s="7">
        <f>INDEX(Sheet2!$C$2:$C$65,$B529+1)</f>
        <v>17</v>
      </c>
      <c r="E529" s="7">
        <f>INDEX(Sheet2!$D$2:$D$65,$B529+1)</f>
        <v>6</v>
      </c>
      <c r="F529" s="7">
        <f>INDEX(Sheet3!$AY$2:$BN$11,$A529,$E529+1)</f>
        <v>0</v>
      </c>
      <c r="G529" s="7">
        <f>IF($B529&lt;16,_xlfn.BITOR(_xlfn.BITAND($K528,$L528),_xlfn.BITAND(4294967295-$K528,$M528)),IF($B529&lt;32,_xlfn.BITOR(_xlfn.BITAND($M528,$K528),_xlfn.BITAND(4294967295-$M528,$L528)),IF($B529&lt;48,_xlfn.BITXOR(_xlfn.BITXOR($K528,$L528),$M528),_xlfn.BITXOR($L528,_xlfn.BITOR($K528,4294967295-$M528)))))</f>
        <v>1963562030</v>
      </c>
      <c r="H529" s="7">
        <f>MOD($G529+$J528+$C529+$F529,4294967296)</f>
        <v>2049671819</v>
      </c>
      <c r="I529" s="7">
        <f>MOD($H529,2^(32-$D529))*2^$D529+INT($H529/2^(32-$D529))</f>
        <v>85390423</v>
      </c>
      <c r="J529" s="7">
        <f>$M528</f>
        <v>1094714429</v>
      </c>
      <c r="K529" s="7">
        <f>MOD($K528+$I529,4294967296)</f>
        <v>1114671794</v>
      </c>
      <c r="L529" s="7">
        <f>$K528</f>
        <v>1029281371</v>
      </c>
      <c r="M529" s="7">
        <f>$L528</f>
        <v>925881358</v>
      </c>
    </row>
    <row r="530" spans="1:13">
      <c r="A530" s="7">
        <v>9</v>
      </c>
      <c r="B530" s="7">
        <v>7</v>
      </c>
      <c r="C530" s="7">
        <f>INDEX(Sheet2!$B$2:$B$65,$B530+1)</f>
        <v>4249261313</v>
      </c>
      <c r="D530" s="7">
        <f>INDEX(Sheet2!$C$2:$C$65,$B530+1)</f>
        <v>22</v>
      </c>
      <c r="E530" s="7">
        <f>INDEX(Sheet2!$D$2:$D$65,$B530+1)</f>
        <v>7</v>
      </c>
      <c r="F530" s="7">
        <f>INDEX(Sheet3!$AY$2:$BN$11,$A530,$E530+1)</f>
        <v>0</v>
      </c>
      <c r="G530" s="7">
        <f>IF($B530&lt;16,_xlfn.BITOR(_xlfn.BITAND($K529,$L529),_xlfn.BITAND(4294967295-$K529,$M529)),IF($B530&lt;32,_xlfn.BITOR(_xlfn.BITAND($M529,$K529),_xlfn.BITAND(4294967295-$M529,$L529)),IF($B530&lt;48,_xlfn.BITXOR(_xlfn.BITXOR($K529,$L529),$M529),_xlfn.BITXOR($L529,_xlfn.BITOR($K529,4294967295-$M529)))))</f>
        <v>895473182</v>
      </c>
      <c r="H530" s="7">
        <f>MOD($G530+$J529+$C530+$F530,4294967296)</f>
        <v>1944481628</v>
      </c>
      <c r="I530" s="7">
        <f>MOD($H530,2^(32-$D530))*2^$D530+INT($H530/2^(32-$D530))</f>
        <v>3609000347</v>
      </c>
      <c r="J530" s="7">
        <f>$M529</f>
        <v>925881358</v>
      </c>
      <c r="K530" s="7">
        <f>MOD($K529+$I530,4294967296)</f>
        <v>428704845</v>
      </c>
      <c r="L530" s="7">
        <f>$K529</f>
        <v>1114671794</v>
      </c>
      <c r="M530" s="7">
        <f>$L529</f>
        <v>1029281371</v>
      </c>
    </row>
    <row r="531" spans="1:13">
      <c r="A531" s="7">
        <v>9</v>
      </c>
      <c r="B531" s="7">
        <v>8</v>
      </c>
      <c r="C531" s="7">
        <f>INDEX(Sheet2!$B$2:$B$65,$B531+1)</f>
        <v>1770035416</v>
      </c>
      <c r="D531" s="7">
        <f>INDEX(Sheet2!$C$2:$C$65,$B531+1)</f>
        <v>7</v>
      </c>
      <c r="E531" s="7">
        <f>INDEX(Sheet2!$D$2:$D$65,$B531+1)</f>
        <v>8</v>
      </c>
      <c r="F531" s="7">
        <f>INDEX(Sheet3!$AY$2:$BN$11,$A531,$E531+1)</f>
        <v>0</v>
      </c>
      <c r="G531" s="7">
        <f>IF($B531&lt;16,_xlfn.BITOR(_xlfn.BITAND($K530,$L530),_xlfn.BITAND(4294967295-$K530,$M530)),IF($B531&lt;32,_xlfn.BITOR(_xlfn.BITAND($M530,$K530),_xlfn.BITAND(4294967295-$M530,$L530)),IF($B531&lt;48,_xlfn.BITXOR(_xlfn.BITXOR($K530,$L530),$M530),_xlfn.BITXOR($L530,_xlfn.BITOR($K530,4294967295-$M530)))))</f>
        <v>609260050</v>
      </c>
      <c r="H531" s="7">
        <f>MOD($G531+$J530+$C531+$F531,4294967296)</f>
        <v>3305176824</v>
      </c>
      <c r="I531" s="7">
        <f>MOD($H531,2^(32-$D531))*2^$D531+INT($H531/2^(32-$D531))</f>
        <v>2155838562</v>
      </c>
      <c r="J531" s="7">
        <f>$M530</f>
        <v>1029281371</v>
      </c>
      <c r="K531" s="7">
        <f>MOD($K530+$I531,4294967296)</f>
        <v>2584543407</v>
      </c>
      <c r="L531" s="7">
        <f>$K530</f>
        <v>428704845</v>
      </c>
      <c r="M531" s="7">
        <f>$L530</f>
        <v>1114671794</v>
      </c>
    </row>
    <row r="532" spans="1:13">
      <c r="A532" s="7">
        <v>9</v>
      </c>
      <c r="B532" s="7">
        <v>9</v>
      </c>
      <c r="C532" s="7">
        <f>INDEX(Sheet2!$B$2:$B$65,$B532+1)</f>
        <v>2336552879</v>
      </c>
      <c r="D532" s="7">
        <f>INDEX(Sheet2!$C$2:$C$65,$B532+1)</f>
        <v>12</v>
      </c>
      <c r="E532" s="7">
        <f>INDEX(Sheet2!$D$2:$D$65,$B532+1)</f>
        <v>9</v>
      </c>
      <c r="F532" s="7">
        <f>INDEX(Sheet3!$AY$2:$BN$11,$A532,$E532+1)</f>
        <v>0</v>
      </c>
      <c r="G532" s="7">
        <f>IF($B532&lt;16,_xlfn.BITOR(_xlfn.BITAND($K531,$L531),_xlfn.BITAND(4294967295-$K531,$M531)),IF($B532&lt;32,_xlfn.BITOR(_xlfn.BITAND($M531,$K531),_xlfn.BITAND(4294967295-$M531,$L531)),IF($B532&lt;48,_xlfn.BITXOR(_xlfn.BITXOR($K531,$L531),$M531),_xlfn.BITXOR($L531,_xlfn.BITOR($K531,4294967295-$M531)))))</f>
        <v>1484622365</v>
      </c>
      <c r="H532" s="7">
        <f>MOD($G532+$J531+$C532+$F532,4294967296)</f>
        <v>555489319</v>
      </c>
      <c r="I532" s="7">
        <f>MOD($H532,2^(32-$D532))*2^$D532+INT($H532/2^(32-$D532))</f>
        <v>3246551569</v>
      </c>
      <c r="J532" s="7">
        <f>$M531</f>
        <v>1114671794</v>
      </c>
      <c r="K532" s="7">
        <f>MOD($K531+$I532,4294967296)</f>
        <v>1536127680</v>
      </c>
      <c r="L532" s="7">
        <f>$K531</f>
        <v>2584543407</v>
      </c>
      <c r="M532" s="7">
        <f>$L531</f>
        <v>428704845</v>
      </c>
    </row>
    <row r="533" spans="1:13">
      <c r="A533" s="7">
        <v>9</v>
      </c>
      <c r="B533" s="7">
        <v>10</v>
      </c>
      <c r="C533" s="7">
        <f>INDEX(Sheet2!$B$2:$B$65,$B533+1)</f>
        <v>4294925233</v>
      </c>
      <c r="D533" s="7">
        <f>INDEX(Sheet2!$C$2:$C$65,$B533+1)</f>
        <v>17</v>
      </c>
      <c r="E533" s="7">
        <f>INDEX(Sheet2!$D$2:$D$65,$B533+1)</f>
        <v>10</v>
      </c>
      <c r="F533" s="7">
        <f>INDEX(Sheet3!$AY$2:$BN$11,$A533,$E533+1)</f>
        <v>0</v>
      </c>
      <c r="G533" s="7">
        <f>IF($B533&lt;16,_xlfn.BITOR(_xlfn.BITAND($K532,$L532),_xlfn.BITAND(4294967295-$K532,$M532)),IF($B533&lt;32,_xlfn.BITOR(_xlfn.BITAND($M532,$K532),_xlfn.BITAND(4294967295-$M532,$L532)),IF($B533&lt;48,_xlfn.BITXOR(_xlfn.BITXOR($K532,$L532),$M532),_xlfn.BITXOR($L532,_xlfn.BITOR($K532,4294967295-$M532)))))</f>
        <v>437093517</v>
      </c>
      <c r="H533" s="7">
        <f>MOD($G533+$J532+$C533+$F533,4294967296)</f>
        <v>1551723248</v>
      </c>
      <c r="I533" s="7">
        <f>MOD($H533,2^(32-$D533))*2^$D533+INT($H533/2^(32-$D533))</f>
        <v>3588274426</v>
      </c>
      <c r="J533" s="7">
        <f>$M532</f>
        <v>428704845</v>
      </c>
      <c r="K533" s="7">
        <f>MOD($K532+$I533,4294967296)</f>
        <v>829434810</v>
      </c>
      <c r="L533" s="7">
        <f>$K532</f>
        <v>1536127680</v>
      </c>
      <c r="M533" s="7">
        <f>$L532</f>
        <v>2584543407</v>
      </c>
    </row>
    <row r="534" spans="1:13">
      <c r="A534" s="7">
        <v>9</v>
      </c>
      <c r="B534" s="7">
        <v>11</v>
      </c>
      <c r="C534" s="7">
        <f>INDEX(Sheet2!$B$2:$B$65,$B534+1)</f>
        <v>2304563134</v>
      </c>
      <c r="D534" s="7">
        <f>INDEX(Sheet2!$C$2:$C$65,$B534+1)</f>
        <v>22</v>
      </c>
      <c r="E534" s="7">
        <f>INDEX(Sheet2!$D$2:$D$65,$B534+1)</f>
        <v>11</v>
      </c>
      <c r="F534" s="7">
        <f>INDEX(Sheet3!$AY$2:$BN$11,$A534,$E534+1)</f>
        <v>0</v>
      </c>
      <c r="G534" s="7">
        <f>IF($B534&lt;16,_xlfn.BITOR(_xlfn.BITAND($K533,$L533),_xlfn.BITAND(4294967295-$K533,$M533)),IF($B534&lt;32,_xlfn.BITOR(_xlfn.BITAND($M533,$K533),_xlfn.BITAND(4294967295-$M533,$L533)),IF($B534&lt;48,_xlfn.BITXOR(_xlfn.BITXOR($K533,$L533),$M533),_xlfn.BITXOR($L533,_xlfn.BITOR($K533,4294967295-$M533)))))</f>
        <v>2601329285</v>
      </c>
      <c r="H534" s="7">
        <f>MOD($G534+$J533+$C534+$F534,4294967296)</f>
        <v>1039629968</v>
      </c>
      <c r="I534" s="7">
        <f>MOD($H534,2^(32-$D534))*2^$D534+INT($H534/2^(32-$D534))</f>
        <v>2752478687</v>
      </c>
      <c r="J534" s="7">
        <f>$M533</f>
        <v>2584543407</v>
      </c>
      <c r="K534" s="7">
        <f>MOD($K533+$I534,4294967296)</f>
        <v>3581913497</v>
      </c>
      <c r="L534" s="7">
        <f>$K533</f>
        <v>829434810</v>
      </c>
      <c r="M534" s="7">
        <f>$L533</f>
        <v>1536127680</v>
      </c>
    </row>
    <row r="535" spans="1:13">
      <c r="A535" s="7">
        <v>9</v>
      </c>
      <c r="B535" s="7">
        <v>12</v>
      </c>
      <c r="C535" s="7">
        <f>INDEX(Sheet2!$B$2:$B$65,$B535+1)</f>
        <v>1804603682</v>
      </c>
      <c r="D535" s="7">
        <f>INDEX(Sheet2!$C$2:$C$65,$B535+1)</f>
        <v>7</v>
      </c>
      <c r="E535" s="7">
        <f>INDEX(Sheet2!$D$2:$D$65,$B535+1)</f>
        <v>12</v>
      </c>
      <c r="F535" s="7">
        <f>INDEX(Sheet3!$AY$2:$BN$11,$A535,$E535+1)</f>
        <v>0</v>
      </c>
      <c r="G535" s="7">
        <f>IF($B535&lt;16,_xlfn.BITOR(_xlfn.BITAND($K534,$L534),_xlfn.BITAND(4294967295-$K534,$M534)),IF($B535&lt;32,_xlfn.BITOR(_xlfn.BITAND($M534,$K534),_xlfn.BITAND(4294967295-$M534,$L534)),IF($B535&lt;48,_xlfn.BITXOR(_xlfn.BITXOR($K534,$L534),$M534),_xlfn.BITXOR($L534,_xlfn.BITOR($K534,4294967295-$M534)))))</f>
        <v>468745176</v>
      </c>
      <c r="H535" s="7">
        <f>MOD($G535+$J534+$C535+$F535,4294967296)</f>
        <v>562924969</v>
      </c>
      <c r="I535" s="7">
        <f>MOD($H535,2^(32-$D535))*2^$D535+INT($H535/2^(32-$D535))</f>
        <v>3334919312</v>
      </c>
      <c r="J535" s="7">
        <f>$M534</f>
        <v>1536127680</v>
      </c>
      <c r="K535" s="7">
        <f>MOD($K534+$I535,4294967296)</f>
        <v>2621865513</v>
      </c>
      <c r="L535" s="7">
        <f>$K534</f>
        <v>3581913497</v>
      </c>
      <c r="M535" s="7">
        <f>$L534</f>
        <v>829434810</v>
      </c>
    </row>
    <row r="536" spans="1:13">
      <c r="A536" s="7">
        <v>9</v>
      </c>
      <c r="B536" s="7">
        <v>13</v>
      </c>
      <c r="C536" s="7">
        <f>INDEX(Sheet2!$B$2:$B$65,$B536+1)</f>
        <v>4254626195</v>
      </c>
      <c r="D536" s="7">
        <f>INDEX(Sheet2!$C$2:$C$65,$B536+1)</f>
        <v>12</v>
      </c>
      <c r="E536" s="7">
        <f>INDEX(Sheet2!$D$2:$D$65,$B536+1)</f>
        <v>13</v>
      </c>
      <c r="F536" s="7">
        <f>INDEX(Sheet3!$AY$2:$BN$11,$A536,$E536+1)</f>
        <v>0</v>
      </c>
      <c r="G536" s="7">
        <f>IF($B536&lt;16,_xlfn.BITOR(_xlfn.BITAND($K535,$L535),_xlfn.BITAND(4294967295-$K535,$M535)),IF($B536&lt;32,_xlfn.BITOR(_xlfn.BITAND($M535,$K535),_xlfn.BITAND(4294967295-$M535,$L535)),IF($B536&lt;48,_xlfn.BITXOR(_xlfn.BITXOR($K535,$L535),$M535),_xlfn.BITXOR($L535,_xlfn.BITOR($K535,4294967295-$M535)))))</f>
        <v>3044419995</v>
      </c>
      <c r="H536" s="7">
        <f>MOD($G536+$J535+$C536+$F536,4294967296)</f>
        <v>245239278</v>
      </c>
      <c r="I536" s="7">
        <f>MOD($H536,2^(32-$D536))*2^$D536+INT($H536/2^(32-$D536))</f>
        <v>3772702953</v>
      </c>
      <c r="J536" s="7">
        <f>$M535</f>
        <v>829434810</v>
      </c>
      <c r="K536" s="7">
        <f>MOD($K535+$I536,4294967296)</f>
        <v>2099601170</v>
      </c>
      <c r="L536" s="7">
        <f>$K535</f>
        <v>2621865513</v>
      </c>
      <c r="M536" s="7">
        <f>$L535</f>
        <v>3581913497</v>
      </c>
    </row>
    <row r="537" spans="1:13">
      <c r="A537" s="7">
        <v>9</v>
      </c>
      <c r="B537" s="7">
        <v>14</v>
      </c>
      <c r="C537" s="7">
        <f>INDEX(Sheet2!$B$2:$B$65,$B537+1)</f>
        <v>2792965006</v>
      </c>
      <c r="D537" s="7">
        <f>INDEX(Sheet2!$C$2:$C$65,$B537+1)</f>
        <v>17</v>
      </c>
      <c r="E537" s="7">
        <f>INDEX(Sheet2!$D$2:$D$65,$B537+1)</f>
        <v>14</v>
      </c>
      <c r="F537" s="7">
        <f>INDEX(Sheet3!$AY$2:$BN$11,$A537,$E537+1)</f>
        <v>152</v>
      </c>
      <c r="G537" s="7">
        <f>IF($B537&lt;16,_xlfn.BITOR(_xlfn.BITAND($K536,$L536),_xlfn.BITAND(4294967295-$K536,$M536)),IF($B537&lt;32,_xlfn.BITOR(_xlfn.BITAND($M536,$K536),_xlfn.BITAND(4294967295-$M536,$L536)),IF($B537&lt;48,_xlfn.BITXOR(_xlfn.BITXOR($K536,$L536),$M536),_xlfn.BITXOR($L536,_xlfn.BITOR($K536,4294967295-$M536)))))</f>
        <v>2623471241</v>
      </c>
      <c r="H537" s="7">
        <f>MOD($G537+$J536+$C537+$F537,4294967296)</f>
        <v>1950903913</v>
      </c>
      <c r="I537" s="7">
        <f>MOD($H537,2^(32-$D537))*2^$D537+INT($H537/2^(32-$D537))</f>
        <v>3704809616</v>
      </c>
      <c r="J537" s="7">
        <f>$M536</f>
        <v>3581913497</v>
      </c>
      <c r="K537" s="7">
        <f>MOD($K536+$I537,4294967296)</f>
        <v>1509443490</v>
      </c>
      <c r="L537" s="7">
        <f>$K536</f>
        <v>2099601170</v>
      </c>
      <c r="M537" s="7">
        <f>$L536</f>
        <v>2621865513</v>
      </c>
    </row>
    <row r="538" spans="1:13">
      <c r="A538" s="7">
        <v>9</v>
      </c>
      <c r="B538" s="7">
        <v>15</v>
      </c>
      <c r="C538" s="7">
        <f>INDEX(Sheet2!$B$2:$B$65,$B538+1)</f>
        <v>1236535329</v>
      </c>
      <c r="D538" s="7">
        <f>INDEX(Sheet2!$C$2:$C$65,$B538+1)</f>
        <v>22</v>
      </c>
      <c r="E538" s="7">
        <f>INDEX(Sheet2!$D$2:$D$65,$B538+1)</f>
        <v>15</v>
      </c>
      <c r="F538" s="7">
        <f>INDEX(Sheet3!$AY$2:$BN$11,$A538,$E538+1)</f>
        <v>0</v>
      </c>
      <c r="G538" s="7">
        <f>IF($B538&lt;16,_xlfn.BITOR(_xlfn.BITAND($K537,$L537),_xlfn.BITAND(4294967295-$K537,$M537)),IF($B538&lt;32,_xlfn.BITOR(_xlfn.BITAND($M537,$K537),_xlfn.BITAND(4294967295-$M537,$L537)),IF($B538&lt;48,_xlfn.BITXOR(_xlfn.BITXOR($K537,$L537),$M537),_xlfn.BITXOR($L537,_xlfn.BITOR($K537,4294967295-$M537)))))</f>
        <v>3710287627</v>
      </c>
      <c r="H538" s="7">
        <f>MOD($G538+$J537+$C538+$F538,4294967296)</f>
        <v>4233769157</v>
      </c>
      <c r="I538" s="7">
        <f>MOD($H538,2^(32-$D538))*2^$D538+INT($H538/2^(32-$D538))</f>
        <v>830412428</v>
      </c>
      <c r="J538" s="7">
        <f>$M537</f>
        <v>2621865513</v>
      </c>
      <c r="K538" s="7">
        <f>MOD($K537+$I538,4294967296)</f>
        <v>2339855918</v>
      </c>
      <c r="L538" s="7">
        <f>$K537</f>
        <v>1509443490</v>
      </c>
      <c r="M538" s="7">
        <f>$L537</f>
        <v>2099601170</v>
      </c>
    </row>
    <row r="539" spans="1:13">
      <c r="A539" s="7">
        <v>9</v>
      </c>
      <c r="B539" s="7">
        <v>16</v>
      </c>
      <c r="C539" s="7">
        <f>INDEX(Sheet2!$B$2:$B$65,$B539+1)</f>
        <v>4129170786</v>
      </c>
      <c r="D539" s="7">
        <f>INDEX(Sheet2!$C$2:$C$65,$B539+1)</f>
        <v>5</v>
      </c>
      <c r="E539" s="7">
        <f>INDEX(Sheet2!$D$2:$D$65,$B539+1)</f>
        <v>1</v>
      </c>
      <c r="F539" s="7">
        <f>INDEX(Sheet3!$AY$2:$BN$11,$A539,$E539+1)</f>
        <v>862876511</v>
      </c>
      <c r="G539" s="7">
        <f>IF($B539&lt;16,_xlfn.BITOR(_xlfn.BITAND($K538,$L538),_xlfn.BITAND(4294967295-$K538,$M538)),IF($B539&lt;32,_xlfn.BITOR(_xlfn.BITAND($M538,$K538),_xlfn.BITAND(4294967295-$M538,$L538)),IF($B539&lt;48,_xlfn.BITXOR(_xlfn.BITXOR($K538,$L538),$M538),_xlfn.BITXOR($L538,_xlfn.BITOR($K538,4294967295-$M538)))))</f>
        <v>167599778</v>
      </c>
      <c r="H539" s="7">
        <f>MOD($G539+$J538+$C539+$F539,4294967296)</f>
        <v>3486545292</v>
      </c>
      <c r="I539" s="7">
        <f>MOD($H539,2^(32-$D539))*2^$D539+INT($H539/2^(32-$D539))</f>
        <v>4195266969</v>
      </c>
      <c r="J539" s="7">
        <f>$M538</f>
        <v>2099601170</v>
      </c>
      <c r="K539" s="7">
        <f>MOD($K538+$I539,4294967296)</f>
        <v>2240155591</v>
      </c>
      <c r="L539" s="7">
        <f>$K538</f>
        <v>2339855918</v>
      </c>
      <c r="M539" s="7">
        <f>$L538</f>
        <v>1509443490</v>
      </c>
    </row>
    <row r="540" spans="1:13">
      <c r="A540" s="7">
        <v>9</v>
      </c>
      <c r="B540" s="7">
        <v>17</v>
      </c>
      <c r="C540" s="7">
        <f>INDEX(Sheet2!$B$2:$B$65,$B540+1)</f>
        <v>3225465664</v>
      </c>
      <c r="D540" s="7">
        <f>INDEX(Sheet2!$C$2:$C$65,$B540+1)</f>
        <v>9</v>
      </c>
      <c r="E540" s="7">
        <f>INDEX(Sheet2!$D$2:$D$65,$B540+1)</f>
        <v>6</v>
      </c>
      <c r="F540" s="7">
        <f>INDEX(Sheet3!$AY$2:$BN$11,$A540,$E540+1)</f>
        <v>0</v>
      </c>
      <c r="G540" s="7">
        <f>IF($B540&lt;16,_xlfn.BITOR(_xlfn.BITAND($K539,$L539),_xlfn.BITAND(4294967295-$K539,$M539)),IF($B540&lt;32,_xlfn.BITOR(_xlfn.BITAND($M539,$K539),_xlfn.BITAND(4294967295-$M539,$L539)),IF($B540&lt;48,_xlfn.BITXOR(_xlfn.BITXOR($K539,$L539),$M539),_xlfn.BITXOR($L539,_xlfn.BITOR($K539,4294967295-$M539)))))</f>
        <v>2206670734</v>
      </c>
      <c r="H540" s="7">
        <f>MOD($G540+$J539+$C540+$F540,4294967296)</f>
        <v>3236770272</v>
      </c>
      <c r="I540" s="7">
        <f>MOD($H540,2^(32-$D540))*2^$D540+INT($H540/2^(32-$D540))</f>
        <v>3663970689</v>
      </c>
      <c r="J540" s="7">
        <f>$M539</f>
        <v>1509443490</v>
      </c>
      <c r="K540" s="7">
        <f>MOD($K539+$I540,4294967296)</f>
        <v>1609158984</v>
      </c>
      <c r="L540" s="7">
        <f>$K539</f>
        <v>2240155591</v>
      </c>
      <c r="M540" s="7">
        <f>$L539</f>
        <v>2339855918</v>
      </c>
    </row>
    <row r="541" spans="1:13">
      <c r="A541" s="7">
        <v>9</v>
      </c>
      <c r="B541" s="7">
        <v>18</v>
      </c>
      <c r="C541" s="7">
        <f>INDEX(Sheet2!$B$2:$B$65,$B541+1)</f>
        <v>643717713</v>
      </c>
      <c r="D541" s="7">
        <f>INDEX(Sheet2!$C$2:$C$65,$B541+1)</f>
        <v>14</v>
      </c>
      <c r="E541" s="7">
        <f>INDEX(Sheet2!$D$2:$D$65,$B541+1)</f>
        <v>11</v>
      </c>
      <c r="F541" s="7">
        <f>INDEX(Sheet3!$AY$2:$BN$11,$A541,$E541+1)</f>
        <v>0</v>
      </c>
      <c r="G541" s="7">
        <f>IF($B541&lt;16,_xlfn.BITOR(_xlfn.BITAND($K540,$L540),_xlfn.BITAND(4294967295-$K540,$M540)),IF($B541&lt;32,_xlfn.BITOR(_xlfn.BITAND($M540,$K540),_xlfn.BITAND(4294967295-$M540,$L540)),IF($B541&lt;48,_xlfn.BITXOR(_xlfn.BITXOR($K540,$L540),$M540),_xlfn.BITXOR($L540,_xlfn.BITOR($K540,4294967295-$M540)))))</f>
        <v>266424777</v>
      </c>
      <c r="H541" s="7">
        <f>MOD($G541+$J540+$C541+$F541,4294967296)</f>
        <v>2419585980</v>
      </c>
      <c r="I541" s="7">
        <f>MOD($H541,2^(32-$D541))*2^$D541+INT($H541/2^(32-$D541))</f>
        <v>4243530765</v>
      </c>
      <c r="J541" s="7">
        <f>$M540</f>
        <v>2339855918</v>
      </c>
      <c r="K541" s="7">
        <f>MOD($K540+$I541,4294967296)</f>
        <v>1557722453</v>
      </c>
      <c r="L541" s="7">
        <f>$K540</f>
        <v>1609158984</v>
      </c>
      <c r="M541" s="7">
        <f>$L540</f>
        <v>2240155591</v>
      </c>
    </row>
    <row r="542" spans="1:13">
      <c r="A542" s="7">
        <v>9</v>
      </c>
      <c r="B542" s="7">
        <v>19</v>
      </c>
      <c r="C542" s="7">
        <f>INDEX(Sheet2!$B$2:$B$65,$B542+1)</f>
        <v>3921069994</v>
      </c>
      <c r="D542" s="7">
        <f>INDEX(Sheet2!$C$2:$C$65,$B542+1)</f>
        <v>20</v>
      </c>
      <c r="E542" s="7">
        <f>INDEX(Sheet2!$D$2:$D$65,$B542+1)</f>
        <v>0</v>
      </c>
      <c r="F542" s="7">
        <f>INDEX(Sheet3!$AY$2:$BN$11,$A542,$E542+1)</f>
        <v>1701654643</v>
      </c>
      <c r="G542" s="7">
        <f>IF($B542&lt;16,_xlfn.BITOR(_xlfn.BITAND($K541,$L541),_xlfn.BITAND(4294967295-$K541,$M541)),IF($B542&lt;32,_xlfn.BITOR(_xlfn.BITAND($M541,$K541),_xlfn.BITAND(4294967295-$M541,$L541)),IF($B542&lt;48,_xlfn.BITXOR(_xlfn.BITXOR($K541,$L541),$M541),_xlfn.BITXOR($L541,_xlfn.BITOR($K541,4294967295-$M541)))))</f>
        <v>1592382797</v>
      </c>
      <c r="H542" s="7">
        <f>MOD($G542+$J541+$C542+$F542,4294967296)</f>
        <v>965028760</v>
      </c>
      <c r="I542" s="7">
        <f>MOD($H542,2^(32-$D542))*2^$D542+INT($H542/2^(32-$D542))</f>
        <v>3112409170</v>
      </c>
      <c r="J542" s="7">
        <f>$M541</f>
        <v>2240155591</v>
      </c>
      <c r="K542" s="7">
        <f>MOD($K541+$I542,4294967296)</f>
        <v>375164327</v>
      </c>
      <c r="L542" s="7">
        <f>$K541</f>
        <v>1557722453</v>
      </c>
      <c r="M542" s="7">
        <f>$L541</f>
        <v>1609158984</v>
      </c>
    </row>
    <row r="543" spans="1:13">
      <c r="A543" s="7">
        <v>9</v>
      </c>
      <c r="B543" s="7">
        <v>20</v>
      </c>
      <c r="C543" s="7">
        <f>INDEX(Sheet2!$B$2:$B$65,$B543+1)</f>
        <v>3593408605</v>
      </c>
      <c r="D543" s="7">
        <f>INDEX(Sheet2!$C$2:$C$65,$B543+1)</f>
        <v>5</v>
      </c>
      <c r="E543" s="7">
        <f>INDEX(Sheet2!$D$2:$D$65,$B543+1)</f>
        <v>5</v>
      </c>
      <c r="F543" s="7">
        <f>INDEX(Sheet3!$AY$2:$BN$11,$A543,$E543+1)</f>
        <v>0</v>
      </c>
      <c r="G543" s="7">
        <f>IF($B543&lt;16,_xlfn.BITOR(_xlfn.BITAND($K542,$L542),_xlfn.BITAND(4294967295-$K542,$M542)),IF($B543&lt;32,_xlfn.BITOR(_xlfn.BITAND($M542,$K542),_xlfn.BITAND(4294967295-$M542,$L542)),IF($B543&lt;48,_xlfn.BITXOR(_xlfn.BITXOR($K542,$L542),$M542),_xlfn.BITXOR($L542,_xlfn.BITOR($K542,4294967295-$M542)))))</f>
        <v>374908181</v>
      </c>
      <c r="H543" s="7">
        <f>MOD($G543+$J542+$C543+$F543,4294967296)</f>
        <v>1913505081</v>
      </c>
      <c r="I543" s="7">
        <f>MOD($H543,2^(32-$D543))*2^$D543+INT($H543/2^(32-$D543))</f>
        <v>1102620462</v>
      </c>
      <c r="J543" s="7">
        <f>$M542</f>
        <v>1609158984</v>
      </c>
      <c r="K543" s="7">
        <f>MOD($K542+$I543,4294967296)</f>
        <v>1477784789</v>
      </c>
      <c r="L543" s="7">
        <f>$K542</f>
        <v>375164327</v>
      </c>
      <c r="M543" s="7">
        <f>$L542</f>
        <v>1557722453</v>
      </c>
    </row>
    <row r="544" spans="1:13">
      <c r="A544" s="7">
        <v>9</v>
      </c>
      <c r="B544" s="7">
        <v>21</v>
      </c>
      <c r="C544" s="7">
        <f>INDEX(Sheet2!$B$2:$B$65,$B544+1)</f>
        <v>38016083</v>
      </c>
      <c r="D544" s="7">
        <f>INDEX(Sheet2!$C$2:$C$65,$B544+1)</f>
        <v>9</v>
      </c>
      <c r="E544" s="7">
        <f>INDEX(Sheet2!$D$2:$D$65,$B544+1)</f>
        <v>10</v>
      </c>
      <c r="F544" s="7">
        <f>INDEX(Sheet3!$AY$2:$BN$11,$A544,$E544+1)</f>
        <v>0</v>
      </c>
      <c r="G544" s="7">
        <f>IF($B544&lt;16,_xlfn.BITOR(_xlfn.BITAND($K543,$L543),_xlfn.BITAND(4294967295-$K543,$M543)),IF($B544&lt;32,_xlfn.BITOR(_xlfn.BITAND($M543,$K543),_xlfn.BITAND(4294967295-$M543,$L543)),IF($B544&lt;48,_xlfn.BITXOR(_xlfn.BITXOR($K543,$L543),$M543),_xlfn.BITXOR($L543,_xlfn.BITOR($K543,4294967295-$M543)))))</f>
        <v>1511275767</v>
      </c>
      <c r="H544" s="7">
        <f>MOD($G544+$J543+$C544+$F544,4294967296)</f>
        <v>3158450834</v>
      </c>
      <c r="I544" s="7">
        <f>MOD($H544,2^(32-$D544))*2^$D544+INT($H544/2^(32-$D544))</f>
        <v>2219124088</v>
      </c>
      <c r="J544" s="7">
        <f>$M543</f>
        <v>1557722453</v>
      </c>
      <c r="K544" s="7">
        <f>MOD($K543+$I544,4294967296)</f>
        <v>3696908877</v>
      </c>
      <c r="L544" s="7">
        <f>$K543</f>
        <v>1477784789</v>
      </c>
      <c r="M544" s="7">
        <f>$L543</f>
        <v>375164327</v>
      </c>
    </row>
    <row r="545" spans="1:13">
      <c r="A545" s="7">
        <v>9</v>
      </c>
      <c r="B545" s="7">
        <v>22</v>
      </c>
      <c r="C545" s="7">
        <f>INDEX(Sheet2!$B$2:$B$65,$B545+1)</f>
        <v>3634488961</v>
      </c>
      <c r="D545" s="7">
        <f>INDEX(Sheet2!$C$2:$C$65,$B545+1)</f>
        <v>14</v>
      </c>
      <c r="E545" s="7">
        <f>INDEX(Sheet2!$D$2:$D$65,$B545+1)</f>
        <v>15</v>
      </c>
      <c r="F545" s="7">
        <f>INDEX(Sheet3!$AY$2:$BN$11,$A545,$E545+1)</f>
        <v>0</v>
      </c>
      <c r="G545" s="7">
        <f>IF($B545&lt;16,_xlfn.BITOR(_xlfn.BITAND($K544,$L544),_xlfn.BITAND(4294967295-$K544,$M544)),IF($B545&lt;32,_xlfn.BITOR(_xlfn.BITAND($M544,$K544),_xlfn.BITAND(4294967295-$M544,$L544)),IF($B545&lt;48,_xlfn.BITXOR(_xlfn.BITXOR($K544,$L544),$M544),_xlfn.BITXOR($L544,_xlfn.BITOR($K544,4294967295-$M544)))))</f>
        <v>1549350997</v>
      </c>
      <c r="H545" s="7">
        <f>MOD($G545+$J544+$C545+$F545,4294967296)</f>
        <v>2446595115</v>
      </c>
      <c r="I545" s="7">
        <f>MOD($H545,2^(32-$D545))*2^$D545+INT($H545/2^(32-$D545))</f>
        <v>84599925</v>
      </c>
      <c r="J545" s="7">
        <f>$M544</f>
        <v>375164327</v>
      </c>
      <c r="K545" s="7">
        <f>MOD($K544+$I545,4294967296)</f>
        <v>3781508802</v>
      </c>
      <c r="L545" s="7">
        <f>$K544</f>
        <v>3696908877</v>
      </c>
      <c r="M545" s="7">
        <f>$L544</f>
        <v>1477784789</v>
      </c>
    </row>
    <row r="546" spans="1:13">
      <c r="A546" s="7">
        <v>9</v>
      </c>
      <c r="B546" s="7">
        <v>23</v>
      </c>
      <c r="C546" s="7">
        <f>INDEX(Sheet2!$B$2:$B$65,$B546+1)</f>
        <v>3889429448</v>
      </c>
      <c r="D546" s="7">
        <f>INDEX(Sheet2!$C$2:$C$65,$B546+1)</f>
        <v>20</v>
      </c>
      <c r="E546" s="7">
        <f>INDEX(Sheet2!$D$2:$D$65,$B546+1)</f>
        <v>4</v>
      </c>
      <c r="F546" s="7">
        <f>INDEX(Sheet3!$AY$2:$BN$11,$A546,$E546+1)</f>
        <v>2151628607</v>
      </c>
      <c r="G546" s="7">
        <f>IF($B546&lt;16,_xlfn.BITOR(_xlfn.BITAND($K545,$L545),_xlfn.BITAND(4294967295-$K545,$M545)),IF($B546&lt;32,_xlfn.BITOR(_xlfn.BITAND($M545,$K545),_xlfn.BITAND(4294967295-$M545,$L545)),IF($B546&lt;48,_xlfn.BITXOR(_xlfn.BITXOR($K545,$L545),$M545),_xlfn.BITXOR($L545,_xlfn.BITOR($K545,4294967295-$M545)))))</f>
        <v>3293544136</v>
      </c>
      <c r="H546" s="7">
        <f>MOD($G546+$J545+$C546+$F546,4294967296)</f>
        <v>1119831926</v>
      </c>
      <c r="I546" s="7">
        <f>MOD($H546,2^(32-$D546))*2^$D546+INT($H546/2^(32-$D546))</f>
        <v>2003053556</v>
      </c>
      <c r="J546" s="7">
        <f>$M545</f>
        <v>1477784789</v>
      </c>
      <c r="K546" s="7">
        <f>MOD($K545+$I546,4294967296)</f>
        <v>1489595062</v>
      </c>
      <c r="L546" s="7">
        <f>$K545</f>
        <v>3781508802</v>
      </c>
      <c r="M546" s="7">
        <f>$L545</f>
        <v>3696908877</v>
      </c>
    </row>
    <row r="547" spans="1:13">
      <c r="A547" s="7">
        <v>9</v>
      </c>
      <c r="B547" s="7">
        <v>24</v>
      </c>
      <c r="C547" s="7">
        <f>INDEX(Sheet2!$B$2:$B$65,$B547+1)</f>
        <v>568446438</v>
      </c>
      <c r="D547" s="7">
        <f>INDEX(Sheet2!$C$2:$C$65,$B547+1)</f>
        <v>5</v>
      </c>
      <c r="E547" s="7">
        <f>INDEX(Sheet2!$D$2:$D$65,$B547+1)</f>
        <v>9</v>
      </c>
      <c r="F547" s="7">
        <f>INDEX(Sheet3!$AY$2:$BN$11,$A547,$E547+1)</f>
        <v>0</v>
      </c>
      <c r="G547" s="7">
        <f>IF($B547&lt;16,_xlfn.BITOR(_xlfn.BITAND($K546,$L546),_xlfn.BITAND(4294967295-$K546,$M546)),IF($B547&lt;32,_xlfn.BITOR(_xlfn.BITAND($M546,$K546),_xlfn.BITAND(4294967295-$M546,$L546)),IF($B547&lt;48,_xlfn.BITXOR(_xlfn.BITXOR($K546,$L546),$M546),_xlfn.BITXOR($L546,_xlfn.BITOR($K546,4294967295-$M546)))))</f>
        <v>2037214854</v>
      </c>
      <c r="H547" s="7">
        <f>MOD($G547+$J546+$C547+$F547,4294967296)</f>
        <v>4083446081</v>
      </c>
      <c r="I547" s="7">
        <f>MOD($H547,2^(32-$D547))*2^$D547+INT($H547/2^(32-$D547))</f>
        <v>1821255742</v>
      </c>
      <c r="J547" s="7">
        <f>$M546</f>
        <v>3696908877</v>
      </c>
      <c r="K547" s="7">
        <f>MOD($K546+$I547,4294967296)</f>
        <v>3310850804</v>
      </c>
      <c r="L547" s="7">
        <f>$K546</f>
        <v>1489595062</v>
      </c>
      <c r="M547" s="7">
        <f>$L546</f>
        <v>3781508802</v>
      </c>
    </row>
    <row r="548" spans="1:13">
      <c r="A548" s="7">
        <v>9</v>
      </c>
      <c r="B548" s="7">
        <v>25</v>
      </c>
      <c r="C548" s="7">
        <f>INDEX(Sheet2!$B$2:$B$65,$B548+1)</f>
        <v>3275163606</v>
      </c>
      <c r="D548" s="7">
        <f>INDEX(Sheet2!$C$2:$C$65,$B548+1)</f>
        <v>9</v>
      </c>
      <c r="E548" s="7">
        <f>INDEX(Sheet2!$D$2:$D$65,$B548+1)</f>
        <v>14</v>
      </c>
      <c r="F548" s="7">
        <f>INDEX(Sheet3!$AY$2:$BN$11,$A548,$E548+1)</f>
        <v>152</v>
      </c>
      <c r="G548" s="7">
        <f>IF($B548&lt;16,_xlfn.BITOR(_xlfn.BITAND($K547,$L547),_xlfn.BITAND(4294967295-$K547,$M547)),IF($B548&lt;32,_xlfn.BITOR(_xlfn.BITAND($M547,$K547),_xlfn.BITAND(4294967295-$M547,$L547)),IF($B548&lt;48,_xlfn.BITXOR(_xlfn.BITXOR($K547,$L547),$M547),_xlfn.BITXOR($L547,_xlfn.BITOR($K547,4294967295-$M547)))))</f>
        <v>3654111988</v>
      </c>
      <c r="H548" s="7">
        <f>MOD($G548+$J547+$C548+$F548,4294967296)</f>
        <v>2036250031</v>
      </c>
      <c r="I548" s="7">
        <f>MOD($H548,2^(32-$D548))*2^$D548+INT($H548/2^(32-$D548))</f>
        <v>3177930482</v>
      </c>
      <c r="J548" s="7">
        <f>$M547</f>
        <v>3781508802</v>
      </c>
      <c r="K548" s="7">
        <f>MOD($K547+$I548,4294967296)</f>
        <v>2193813990</v>
      </c>
      <c r="L548" s="7">
        <f>$K547</f>
        <v>3310850804</v>
      </c>
      <c r="M548" s="7">
        <f>$L547</f>
        <v>1489595062</v>
      </c>
    </row>
    <row r="549" spans="1:13">
      <c r="A549" s="7">
        <v>9</v>
      </c>
      <c r="B549" s="7">
        <v>26</v>
      </c>
      <c r="C549" s="7">
        <f>INDEX(Sheet2!$B$2:$B$65,$B549+1)</f>
        <v>4107603335</v>
      </c>
      <c r="D549" s="7">
        <f>INDEX(Sheet2!$C$2:$C$65,$B549+1)</f>
        <v>14</v>
      </c>
      <c r="E549" s="7">
        <f>INDEX(Sheet2!$D$2:$D$65,$B549+1)</f>
        <v>3</v>
      </c>
      <c r="F549" s="7">
        <f>INDEX(Sheet3!$AY$2:$BN$11,$A549,$E549+1)</f>
        <v>1953248371</v>
      </c>
      <c r="G549" s="7">
        <f>IF($B549&lt;16,_xlfn.BITOR(_xlfn.BITAND($K548,$L548),_xlfn.BITAND(4294967295-$K548,$M548)),IF($B549&lt;32,_xlfn.BITOR(_xlfn.BITAND($M548,$K548),_xlfn.BITAND(4294967295-$M548,$L548)),IF($B549&lt;48,_xlfn.BITXOR(_xlfn.BITXOR($K548,$L548),$M548),_xlfn.BITXOR($L548,_xlfn.BITOR($K548,4294967295-$M548)))))</f>
        <v>2245456102</v>
      </c>
      <c r="H549" s="7">
        <f>MOD($G549+$J548+$C549+$F549,4294967296)</f>
        <v>3497882018</v>
      </c>
      <c r="I549" s="7">
        <f>MOD($H549,2^(32-$D549))*2^$D549+INT($H549/2^(32-$D549))</f>
        <v>1550365727</v>
      </c>
      <c r="J549" s="7">
        <f>$M548</f>
        <v>1489595062</v>
      </c>
      <c r="K549" s="7">
        <f>MOD($K548+$I549,4294967296)</f>
        <v>3744179717</v>
      </c>
      <c r="L549" s="7">
        <f>$K548</f>
        <v>2193813990</v>
      </c>
      <c r="M549" s="7">
        <f>$L548</f>
        <v>3310850804</v>
      </c>
    </row>
    <row r="550" spans="1:13">
      <c r="A550" s="7">
        <v>9</v>
      </c>
      <c r="B550" s="7">
        <v>27</v>
      </c>
      <c r="C550" s="7">
        <f>INDEX(Sheet2!$B$2:$B$65,$B550+1)</f>
        <v>1163531501</v>
      </c>
      <c r="D550" s="7">
        <f>INDEX(Sheet2!$C$2:$C$65,$B550+1)</f>
        <v>20</v>
      </c>
      <c r="E550" s="7">
        <f>INDEX(Sheet2!$D$2:$D$65,$B550+1)</f>
        <v>8</v>
      </c>
      <c r="F550" s="7">
        <f>INDEX(Sheet3!$AY$2:$BN$11,$A550,$E550+1)</f>
        <v>0</v>
      </c>
      <c r="G550" s="7">
        <f>IF($B550&lt;16,_xlfn.BITOR(_xlfn.BITAND($K549,$L549),_xlfn.BITAND(4294967295-$K549,$M549)),IF($B550&lt;32,_xlfn.BITOR(_xlfn.BITAND($M549,$K549),_xlfn.BITAND(4294967295-$M549,$L549)),IF($B550&lt;48,_xlfn.BITXOR(_xlfn.BITXOR($K549,$L549),$M549),_xlfn.BITXOR($L549,_xlfn.BITOR($K549,4294967295-$M549)))))</f>
        <v>3347309318</v>
      </c>
      <c r="H550" s="7">
        <f>MOD($G550+$J549+$C550+$F550,4294967296)</f>
        <v>1705468585</v>
      </c>
      <c r="I550" s="7">
        <f>MOD($H550,2^(32-$D550))*2^$D550+INT($H550/2^(32-$D550))</f>
        <v>714496630</v>
      </c>
      <c r="J550" s="7">
        <f>$M549</f>
        <v>3310850804</v>
      </c>
      <c r="K550" s="7">
        <f>MOD($K549+$I550,4294967296)</f>
        <v>163709051</v>
      </c>
      <c r="L550" s="7">
        <f>$K549</f>
        <v>3744179717</v>
      </c>
      <c r="M550" s="7">
        <f>$L549</f>
        <v>2193813990</v>
      </c>
    </row>
    <row r="551" spans="1:13">
      <c r="A551" s="7">
        <v>9</v>
      </c>
      <c r="B551" s="7">
        <v>28</v>
      </c>
      <c r="C551" s="7">
        <f>INDEX(Sheet2!$B$2:$B$65,$B551+1)</f>
        <v>2850285829</v>
      </c>
      <c r="D551" s="7">
        <f>INDEX(Sheet2!$C$2:$C$65,$B551+1)</f>
        <v>5</v>
      </c>
      <c r="E551" s="7">
        <f>INDEX(Sheet2!$D$2:$D$65,$B551+1)</f>
        <v>13</v>
      </c>
      <c r="F551" s="7">
        <f>INDEX(Sheet3!$AY$2:$BN$11,$A551,$E551+1)</f>
        <v>0</v>
      </c>
      <c r="G551" s="7">
        <f>IF($B551&lt;16,_xlfn.BITOR(_xlfn.BITAND($K550,$L550),_xlfn.BITAND(4294967295-$K550,$M550)),IF($B551&lt;32,_xlfn.BITOR(_xlfn.BITAND($M550,$K550),_xlfn.BITAND(4294967295-$M550,$L550)),IF($B551&lt;48,_xlfn.BITXOR(_xlfn.BITXOR($K550,$L550),$M550),_xlfn.BITXOR($L550,_xlfn.BITOR($K550,4294967295-$M550)))))</f>
        <v>1575683683</v>
      </c>
      <c r="H551" s="7">
        <f>MOD($G551+$J550+$C551+$F551,4294967296)</f>
        <v>3441853020</v>
      </c>
      <c r="I551" s="7">
        <f>MOD($H551,2^(32-$D551))*2^$D551+INT($H551/2^(32-$D551))</f>
        <v>2765114265</v>
      </c>
      <c r="J551" s="7">
        <f>$M550</f>
        <v>2193813990</v>
      </c>
      <c r="K551" s="7">
        <f>MOD($K550+$I551,4294967296)</f>
        <v>2928823316</v>
      </c>
      <c r="L551" s="7">
        <f>$K550</f>
        <v>163709051</v>
      </c>
      <c r="M551" s="7">
        <f>$L550</f>
        <v>3744179717</v>
      </c>
    </row>
    <row r="552" spans="1:13">
      <c r="A552" s="7">
        <v>9</v>
      </c>
      <c r="B552" s="7">
        <v>29</v>
      </c>
      <c r="C552" s="7">
        <f>INDEX(Sheet2!$B$2:$B$65,$B552+1)</f>
        <v>4243563512</v>
      </c>
      <c r="D552" s="7">
        <f>INDEX(Sheet2!$C$2:$C$65,$B552+1)</f>
        <v>9</v>
      </c>
      <c r="E552" s="7">
        <f>INDEX(Sheet2!$D$2:$D$65,$B552+1)</f>
        <v>2</v>
      </c>
      <c r="F552" s="7">
        <f>INDEX(Sheet3!$AY$2:$BN$11,$A552,$E552+1)</f>
        <v>1601792820</v>
      </c>
      <c r="G552" s="7">
        <f>IF($B552&lt;16,_xlfn.BITOR(_xlfn.BITAND($K551,$L551),_xlfn.BITAND(4294967295-$K551,$M551)),IF($B552&lt;32,_xlfn.BITOR(_xlfn.BITAND($M551,$K551),_xlfn.BITAND(4294967295-$M551,$L551)),IF($B552&lt;48,_xlfn.BITXOR(_xlfn.BITXOR($K551,$L551),$M551),_xlfn.BITXOR($L551,_xlfn.BITOR($K551,4294967295-$M551)))))</f>
        <v>2395079806</v>
      </c>
      <c r="H552" s="7">
        <f>MOD($G552+$J551+$C552+$F552,4294967296)</f>
        <v>1844315536</v>
      </c>
      <c r="I552" s="7">
        <f>MOD($H552,2^(32-$D552))*2^$D552+INT($H552/2^(32-$D552))</f>
        <v>3691716827</v>
      </c>
      <c r="J552" s="7">
        <f>$M551</f>
        <v>3744179717</v>
      </c>
      <c r="K552" s="7">
        <f>MOD($K551+$I552,4294967296)</f>
        <v>2325572847</v>
      </c>
      <c r="L552" s="7">
        <f>$K551</f>
        <v>2928823316</v>
      </c>
      <c r="M552" s="7">
        <f>$L551</f>
        <v>163709051</v>
      </c>
    </row>
    <row r="553" spans="1:13">
      <c r="A553" s="7">
        <v>9</v>
      </c>
      <c r="B553" s="7">
        <v>30</v>
      </c>
      <c r="C553" s="7">
        <f>INDEX(Sheet2!$B$2:$B$65,$B553+1)</f>
        <v>1735328473</v>
      </c>
      <c r="D553" s="7">
        <f>INDEX(Sheet2!$C$2:$C$65,$B553+1)</f>
        <v>14</v>
      </c>
      <c r="E553" s="7">
        <f>INDEX(Sheet2!$D$2:$D$65,$B553+1)</f>
        <v>7</v>
      </c>
      <c r="F553" s="7">
        <f>INDEX(Sheet3!$AY$2:$BN$11,$A553,$E553+1)</f>
        <v>0</v>
      </c>
      <c r="G553" s="7">
        <f>IF($B553&lt;16,_xlfn.BITOR(_xlfn.BITAND($K552,$L552),_xlfn.BITAND(4294967295-$K552,$M552)),IF($B553&lt;32,_xlfn.BITOR(_xlfn.BITAND($M552,$K552),_xlfn.BITAND(4294967295-$M552,$L552)),IF($B553&lt;48,_xlfn.BITXOR(_xlfn.BITXOR($K552,$L552),$M552),_xlfn.BITXOR($L552,_xlfn.BITOR($K552,4294967295-$M552)))))</f>
        <v>2928692335</v>
      </c>
      <c r="H553" s="7">
        <f>MOD($G553+$J552+$C553+$F553,4294967296)</f>
        <v>4113233229</v>
      </c>
      <c r="I553" s="7">
        <f>MOD($H553,2^(32-$D553))*2^$D553+INT($H553/2^(32-$D553))</f>
        <v>3176365386</v>
      </c>
      <c r="J553" s="7">
        <f>$M552</f>
        <v>163709051</v>
      </c>
      <c r="K553" s="7">
        <f>MOD($K552+$I553,4294967296)</f>
        <v>1206970937</v>
      </c>
      <c r="L553" s="7">
        <f>$K552</f>
        <v>2325572847</v>
      </c>
      <c r="M553" s="7">
        <f>$L552</f>
        <v>2928823316</v>
      </c>
    </row>
    <row r="554" spans="1:13">
      <c r="A554" s="7">
        <v>9</v>
      </c>
      <c r="B554" s="7">
        <v>31</v>
      </c>
      <c r="C554" s="7">
        <f>INDEX(Sheet2!$B$2:$B$65,$B554+1)</f>
        <v>2368359562</v>
      </c>
      <c r="D554" s="7">
        <f>INDEX(Sheet2!$C$2:$C$65,$B554+1)</f>
        <v>20</v>
      </c>
      <c r="E554" s="7">
        <f>INDEX(Sheet2!$D$2:$D$65,$B554+1)</f>
        <v>12</v>
      </c>
      <c r="F554" s="7">
        <f>INDEX(Sheet3!$AY$2:$BN$11,$A554,$E554+1)</f>
        <v>0</v>
      </c>
      <c r="G554" s="7">
        <f>IF($B554&lt;16,_xlfn.BITOR(_xlfn.BITAND($K553,$L553),_xlfn.BITAND(4294967295-$K553,$M553)),IF($B554&lt;32,_xlfn.BITOR(_xlfn.BITAND($M553,$K553),_xlfn.BITAND(4294967295-$M553,$L553)),IF($B554&lt;48,_xlfn.BITXOR(_xlfn.BITXOR($K553,$L553),$M553),_xlfn.BITXOR($L553,_xlfn.BITOR($K553,4294967295-$M553)))))</f>
        <v>110979323</v>
      </c>
      <c r="H554" s="7">
        <f>MOD($G554+$J553+$C554+$F554,4294967296)</f>
        <v>2643047936</v>
      </c>
      <c r="I554" s="7">
        <f>MOD($H554,2^(32-$D554))*2^$D554+INT($H554/2^(32-$D554))</f>
        <v>1611258011</v>
      </c>
      <c r="J554" s="7">
        <f>$M553</f>
        <v>2928823316</v>
      </c>
      <c r="K554" s="7">
        <f>MOD($K553+$I554,4294967296)</f>
        <v>2818228948</v>
      </c>
      <c r="L554" s="7">
        <f>$K553</f>
        <v>1206970937</v>
      </c>
      <c r="M554" s="7">
        <f>$L553</f>
        <v>2325572847</v>
      </c>
    </row>
    <row r="555" spans="1:13">
      <c r="A555" s="7">
        <v>9</v>
      </c>
      <c r="B555" s="7">
        <v>32</v>
      </c>
      <c r="C555" s="7">
        <f>INDEX(Sheet2!$B$2:$B$65,$B555+1)</f>
        <v>4294588738</v>
      </c>
      <c r="D555" s="7">
        <f>INDEX(Sheet2!$C$2:$C$65,$B555+1)</f>
        <v>4</v>
      </c>
      <c r="E555" s="7">
        <f>INDEX(Sheet2!$D$2:$D$65,$B555+1)</f>
        <v>5</v>
      </c>
      <c r="F555" s="7">
        <f>INDEX(Sheet3!$AY$2:$BN$11,$A555,$E555+1)</f>
        <v>0</v>
      </c>
      <c r="G555" s="7">
        <f>IF($B555&lt;16,_xlfn.BITOR(_xlfn.BITAND($K554,$L554),_xlfn.BITAND(4294967295-$K554,$M554)),IF($B555&lt;32,_xlfn.BITOR(_xlfn.BITAND($M554,$K554),_xlfn.BITAND(4294967295-$M554,$L554)),IF($B555&lt;48,_xlfn.BITXOR(_xlfn.BITXOR($K554,$L554),$M554),_xlfn.BITXOR($L554,_xlfn.BITOR($K554,4294967295-$M554)))))</f>
        <v>1788298242</v>
      </c>
      <c r="H555" s="7">
        <f>MOD($G555+$J554+$C555+$F555,4294967296)</f>
        <v>421775704</v>
      </c>
      <c r="I555" s="7">
        <f>MOD($H555,2^(32-$D555))*2^$D555+INT($H555/2^(32-$D555))</f>
        <v>2453443969</v>
      </c>
      <c r="J555" s="7">
        <f>$M554</f>
        <v>2325572847</v>
      </c>
      <c r="K555" s="7">
        <f>MOD($K554+$I555,4294967296)</f>
        <v>976705621</v>
      </c>
      <c r="L555" s="7">
        <f>$K554</f>
        <v>2818228948</v>
      </c>
      <c r="M555" s="7">
        <f>$L554</f>
        <v>1206970937</v>
      </c>
    </row>
    <row r="556" spans="1:13">
      <c r="A556" s="7">
        <v>9</v>
      </c>
      <c r="B556" s="7">
        <v>33</v>
      </c>
      <c r="C556" s="7">
        <f>INDEX(Sheet2!$B$2:$B$65,$B556+1)</f>
        <v>2272392833</v>
      </c>
      <c r="D556" s="7">
        <f>INDEX(Sheet2!$C$2:$C$65,$B556+1)</f>
        <v>11</v>
      </c>
      <c r="E556" s="7">
        <f>INDEX(Sheet2!$D$2:$D$65,$B556+1)</f>
        <v>8</v>
      </c>
      <c r="F556" s="7">
        <f>INDEX(Sheet3!$AY$2:$BN$11,$A556,$E556+1)</f>
        <v>0</v>
      </c>
      <c r="G556" s="7">
        <f>IF($B556&lt;16,_xlfn.BITOR(_xlfn.BITAND($K555,$L555),_xlfn.BITAND(4294967295-$K555,$M555)),IF($B556&lt;32,_xlfn.BITOR(_xlfn.BITAND($M555,$K555),_xlfn.BITAND(4294967295-$M555,$L555)),IF($B556&lt;48,_xlfn.BITXOR(_xlfn.BITXOR($K555,$L555),$M555),_xlfn.BITXOR($L555,_xlfn.BITOR($K555,4294967295-$M555)))))</f>
        <v>3661459640</v>
      </c>
      <c r="H556" s="7">
        <f>MOD($G556+$J555+$C556+$F556,4294967296)</f>
        <v>3964458024</v>
      </c>
      <c r="I556" s="7">
        <f>MOD($H556,2^(32-$D556))*2^$D556+INT($H556/2^(32-$D556))</f>
        <v>1721845602</v>
      </c>
      <c r="J556" s="7">
        <f>$M555</f>
        <v>1206970937</v>
      </c>
      <c r="K556" s="7">
        <f>MOD($K555+$I556,4294967296)</f>
        <v>2698551223</v>
      </c>
      <c r="L556" s="7">
        <f>$K555</f>
        <v>976705621</v>
      </c>
      <c r="M556" s="7">
        <f>$L555</f>
        <v>2818228948</v>
      </c>
    </row>
    <row r="557" spans="1:13">
      <c r="A557" s="7">
        <v>9</v>
      </c>
      <c r="B557" s="7">
        <v>34</v>
      </c>
      <c r="C557" s="7">
        <f>INDEX(Sheet2!$B$2:$B$65,$B557+1)</f>
        <v>1839030562</v>
      </c>
      <c r="D557" s="7">
        <f>INDEX(Sheet2!$C$2:$C$65,$B557+1)</f>
        <v>16</v>
      </c>
      <c r="E557" s="7">
        <f>INDEX(Sheet2!$D$2:$D$65,$B557+1)</f>
        <v>11</v>
      </c>
      <c r="F557" s="7">
        <f>INDEX(Sheet3!$AY$2:$BN$11,$A557,$E557+1)</f>
        <v>0</v>
      </c>
      <c r="G557" s="7">
        <f>IF($B557&lt;16,_xlfn.BITOR(_xlfn.BITAND($K556,$L556),_xlfn.BITAND(4294967295-$K556,$M556)),IF($B557&lt;32,_xlfn.BITOR(_xlfn.BITAND($M556,$K556),_xlfn.BITAND(4294967295-$M556,$L556)),IF($B557&lt;48,_xlfn.BITXOR(_xlfn.BITXOR($K556,$L556),$M556),_xlfn.BITXOR($L556,_xlfn.BITOR($K556,4294967295-$M556)))))</f>
        <v>1024787766</v>
      </c>
      <c r="H557" s="7">
        <f>MOD($G557+$J556+$C557+$F557,4294967296)</f>
        <v>4070789265</v>
      </c>
      <c r="I557" s="7">
        <f>MOD($H557,2^(32-$D557))*2^$D557+INT($H557/2^(32-$D557))</f>
        <v>1351742115</v>
      </c>
      <c r="J557" s="7">
        <f>$M556</f>
        <v>2818228948</v>
      </c>
      <c r="K557" s="7">
        <f>MOD($K556+$I557,4294967296)</f>
        <v>4050293338</v>
      </c>
      <c r="L557" s="7">
        <f>$K556</f>
        <v>2698551223</v>
      </c>
      <c r="M557" s="7">
        <f>$L556</f>
        <v>976705621</v>
      </c>
    </row>
    <row r="558" spans="1:13">
      <c r="A558" s="7">
        <v>9</v>
      </c>
      <c r="B558" s="7">
        <v>35</v>
      </c>
      <c r="C558" s="7">
        <f>INDEX(Sheet2!$B$2:$B$65,$B558+1)</f>
        <v>4259657740</v>
      </c>
      <c r="D558" s="7">
        <f>INDEX(Sheet2!$C$2:$C$65,$B558+1)</f>
        <v>23</v>
      </c>
      <c r="E558" s="7">
        <f>INDEX(Sheet2!$D$2:$D$65,$B558+1)</f>
        <v>14</v>
      </c>
      <c r="F558" s="7">
        <f>INDEX(Sheet3!$AY$2:$BN$11,$A558,$E558+1)</f>
        <v>152</v>
      </c>
      <c r="G558" s="7">
        <f>IF($B558&lt;16,_xlfn.BITOR(_xlfn.BITAND($K557,$L557),_xlfn.BITAND(4294967295-$K557,$M557)),IF($B558&lt;32,_xlfn.BITOR(_xlfn.BITAND($M557,$K557),_xlfn.BITAND(4294967295-$M557,$L557)),IF($B558&lt;48,_xlfn.BITXOR(_xlfn.BITXOR($K557,$L557),$M557),_xlfn.BITXOR($L557,_xlfn.BITOR($K557,4294967295-$M557)))))</f>
        <v>1803900344</v>
      </c>
      <c r="H558" s="7">
        <f>MOD($G558+$J557+$C558+$F558,4294967296)</f>
        <v>291852592</v>
      </c>
      <c r="I558" s="7">
        <f>MOD($H558,2^(32-$D558))*2^$D558+INT($H558/2^(32-$D558))</f>
        <v>2550706856</v>
      </c>
      <c r="J558" s="7">
        <f>$M557</f>
        <v>976705621</v>
      </c>
      <c r="K558" s="7">
        <f>MOD($K557+$I558,4294967296)</f>
        <v>2306032898</v>
      </c>
      <c r="L558" s="7">
        <f>$K557</f>
        <v>4050293338</v>
      </c>
      <c r="M558" s="7">
        <f>$L557</f>
        <v>2698551223</v>
      </c>
    </row>
    <row r="559" spans="1:13">
      <c r="A559" s="7">
        <v>9</v>
      </c>
      <c r="B559" s="7">
        <v>36</v>
      </c>
      <c r="C559" s="7">
        <f>INDEX(Sheet2!$B$2:$B$65,$B559+1)</f>
        <v>2763975236</v>
      </c>
      <c r="D559" s="7">
        <f>INDEX(Sheet2!$C$2:$C$65,$B559+1)</f>
        <v>4</v>
      </c>
      <c r="E559" s="7">
        <f>INDEX(Sheet2!$D$2:$D$65,$B559+1)</f>
        <v>1</v>
      </c>
      <c r="F559" s="7">
        <f>INDEX(Sheet3!$AY$2:$BN$11,$A559,$E559+1)</f>
        <v>862876511</v>
      </c>
      <c r="G559" s="7">
        <f>IF($B559&lt;16,_xlfn.BITOR(_xlfn.BITAND($K558,$L558),_xlfn.BITAND(4294967295-$K558,$M558)),IF($B559&lt;32,_xlfn.BITOR(_xlfn.BITAND($M558,$K558),_xlfn.BITAND(4294967295-$M558,$L558)),IF($B559&lt;48,_xlfn.BITXOR(_xlfn.BITXOR($K558,$L558),$M558),_xlfn.BITXOR($L558,_xlfn.BITOR($K558,4294967295-$M558)))))</f>
        <v>3636545775</v>
      </c>
      <c r="H559" s="7">
        <f>MOD($G559+$J558+$C559+$F559,4294967296)</f>
        <v>3945135847</v>
      </c>
      <c r="I559" s="7">
        <f>MOD($H559,2^(32-$D559))*2^$D559+INT($H559/2^(32-$D559))</f>
        <v>2992631422</v>
      </c>
      <c r="J559" s="7">
        <f>$M558</f>
        <v>2698551223</v>
      </c>
      <c r="K559" s="7">
        <f>MOD($K558+$I559,4294967296)</f>
        <v>1003697024</v>
      </c>
      <c r="L559" s="7">
        <f>$K558</f>
        <v>2306032898</v>
      </c>
      <c r="M559" s="7">
        <f>$L558</f>
        <v>4050293338</v>
      </c>
    </row>
    <row r="560" spans="1:13">
      <c r="A560" s="7">
        <v>9</v>
      </c>
      <c r="B560" s="7">
        <v>37</v>
      </c>
      <c r="C560" s="7">
        <f>INDEX(Sheet2!$B$2:$B$65,$B560+1)</f>
        <v>1272893353</v>
      </c>
      <c r="D560" s="7">
        <f>INDEX(Sheet2!$C$2:$C$65,$B560+1)</f>
        <v>11</v>
      </c>
      <c r="E560" s="7">
        <f>INDEX(Sheet2!$D$2:$D$65,$B560+1)</f>
        <v>4</v>
      </c>
      <c r="F560" s="7">
        <f>INDEX(Sheet3!$AY$2:$BN$11,$A560,$E560+1)</f>
        <v>2151628607</v>
      </c>
      <c r="G560" s="7">
        <f>IF($B560&lt;16,_xlfn.BITOR(_xlfn.BITAND($K559,$L559),_xlfn.BITAND(4294967295-$K559,$M559)),IF($B560&lt;32,_xlfn.BITOR(_xlfn.BITAND($M559,$K559),_xlfn.BITAND(4294967295-$M559,$L559)),IF($B560&lt;48,_xlfn.BITXOR(_xlfn.BITXOR($K559,$L559),$M559),_xlfn.BITXOR($L559,_xlfn.BITOR($K559,4294967295-$M559)))))</f>
        <v>1137370328</v>
      </c>
      <c r="H560" s="7">
        <f>MOD($G560+$J559+$C560+$F560,4294967296)</f>
        <v>2965476215</v>
      </c>
      <c r="I560" s="7">
        <f>MOD($H560,2^(32-$D560))*2^$D560+INT($H560/2^(32-$D560))</f>
        <v>211533190</v>
      </c>
      <c r="J560" s="7">
        <f>$M559</f>
        <v>4050293338</v>
      </c>
      <c r="K560" s="7">
        <f>MOD($K559+$I560,4294967296)</f>
        <v>1215230214</v>
      </c>
      <c r="L560" s="7">
        <f>$K559</f>
        <v>1003697024</v>
      </c>
      <c r="M560" s="7">
        <f>$L559</f>
        <v>2306032898</v>
      </c>
    </row>
    <row r="561" spans="1:13">
      <c r="A561" s="7">
        <v>9</v>
      </c>
      <c r="B561" s="7">
        <v>38</v>
      </c>
      <c r="C561" s="7">
        <f>INDEX(Sheet2!$B$2:$B$65,$B561+1)</f>
        <v>4139469664</v>
      </c>
      <c r="D561" s="7">
        <f>INDEX(Sheet2!$C$2:$C$65,$B561+1)</f>
        <v>16</v>
      </c>
      <c r="E561" s="7">
        <f>INDEX(Sheet2!$D$2:$D$65,$B561+1)</f>
        <v>7</v>
      </c>
      <c r="F561" s="7">
        <f>INDEX(Sheet3!$AY$2:$BN$11,$A561,$E561+1)</f>
        <v>0</v>
      </c>
      <c r="G561" s="7">
        <f>IF($B561&lt;16,_xlfn.BITOR(_xlfn.BITAND($K560,$L560),_xlfn.BITAND(4294967295-$K560,$M560)),IF($B561&lt;32,_xlfn.BITOR(_xlfn.BITAND($M560,$K560),_xlfn.BITAND(4294967295-$M560,$L560)),IF($B561&lt;48,_xlfn.BITXOR(_xlfn.BITXOR($K560,$L560),$M560),_xlfn.BITXOR($L560,_xlfn.BITOR($K560,4294967295-$M560)))))</f>
        <v>4207839108</v>
      </c>
      <c r="H561" s="7">
        <f>MOD($G561+$J560+$C561+$F561,4294967296)</f>
        <v>3807667518</v>
      </c>
      <c r="I561" s="7">
        <f>MOD($H561,2^(32-$D561))*2^$D561+INT($H561/2^(32-$D561))</f>
        <v>1698620148</v>
      </c>
      <c r="J561" s="7">
        <f>$M560</f>
        <v>2306032898</v>
      </c>
      <c r="K561" s="7">
        <f>MOD($K560+$I561,4294967296)</f>
        <v>2913850362</v>
      </c>
      <c r="L561" s="7">
        <f>$K560</f>
        <v>1215230214</v>
      </c>
      <c r="M561" s="7">
        <f>$L560</f>
        <v>1003697024</v>
      </c>
    </row>
    <row r="562" spans="1:13">
      <c r="A562" s="7">
        <v>9</v>
      </c>
      <c r="B562" s="7">
        <v>39</v>
      </c>
      <c r="C562" s="7">
        <f>INDEX(Sheet2!$B$2:$B$65,$B562+1)</f>
        <v>3200236656</v>
      </c>
      <c r="D562" s="7">
        <f>INDEX(Sheet2!$C$2:$C$65,$B562+1)</f>
        <v>23</v>
      </c>
      <c r="E562" s="7">
        <f>INDEX(Sheet2!$D$2:$D$65,$B562+1)</f>
        <v>10</v>
      </c>
      <c r="F562" s="7">
        <f>INDEX(Sheet3!$AY$2:$BN$11,$A562,$E562+1)</f>
        <v>0</v>
      </c>
      <c r="G562" s="7">
        <f>IF($B562&lt;16,_xlfn.BITOR(_xlfn.BITAND($K561,$L561),_xlfn.BITAND(4294967295-$K561,$M561)),IF($B562&lt;32,_xlfn.BITOR(_xlfn.BITAND($M561,$K561),_xlfn.BITAND(4294967295-$M561,$L561)),IF($B562&lt;48,_xlfn.BITXOR(_xlfn.BITXOR($K561,$L561),$M561),_xlfn.BITXOR($L561,_xlfn.BITOR($K561,4294967295-$M561)))))</f>
        <v>3725595004</v>
      </c>
      <c r="H562" s="7">
        <f>MOD($G562+$J561+$C562+$F562,4294967296)</f>
        <v>641929966</v>
      </c>
      <c r="I562" s="7">
        <f>MOD($H562,2^(32-$D562))*2^$D562+INT($H562/2^(32-$D562))</f>
        <v>1997742473</v>
      </c>
      <c r="J562" s="7">
        <f>$M561</f>
        <v>1003697024</v>
      </c>
      <c r="K562" s="7">
        <f>MOD($K561+$I562,4294967296)</f>
        <v>616625539</v>
      </c>
      <c r="L562" s="7">
        <f>$K561</f>
        <v>2913850362</v>
      </c>
      <c r="M562" s="7">
        <f>$L561</f>
        <v>1215230214</v>
      </c>
    </row>
    <row r="563" spans="1:13">
      <c r="A563" s="7">
        <v>9</v>
      </c>
      <c r="B563" s="7">
        <v>40</v>
      </c>
      <c r="C563" s="7">
        <f>INDEX(Sheet2!$B$2:$B$65,$B563+1)</f>
        <v>681279174</v>
      </c>
      <c r="D563" s="7">
        <f>INDEX(Sheet2!$C$2:$C$65,$B563+1)</f>
        <v>4</v>
      </c>
      <c r="E563" s="7">
        <f>INDEX(Sheet2!$D$2:$D$65,$B563+1)</f>
        <v>13</v>
      </c>
      <c r="F563" s="7">
        <f>INDEX(Sheet3!$AY$2:$BN$11,$A563,$E563+1)</f>
        <v>0</v>
      </c>
      <c r="G563" s="7">
        <f>IF($B563&lt;16,_xlfn.BITOR(_xlfn.BITAND($K562,$L562),_xlfn.BITAND(4294967295-$K562,$M562)),IF($B563&lt;32,_xlfn.BITOR(_xlfn.BITAND($M562,$K562),_xlfn.BITAND(4294967295-$M562,$L562)),IF($B563&lt;48,_xlfn.BITXOR(_xlfn.BITXOR($K562,$L562),$M562),_xlfn.BITXOR($L562,_xlfn.BITOR($K562,4294967295-$M562)))))</f>
        <v>3238254463</v>
      </c>
      <c r="H563" s="7">
        <f>MOD($G563+$J562+$C563+$F563,4294967296)</f>
        <v>628263365</v>
      </c>
      <c r="I563" s="7">
        <f>MOD($H563,2^(32-$D563))*2^$D563+INT($H563/2^(32-$D563))</f>
        <v>1462279250</v>
      </c>
      <c r="J563" s="7">
        <f>$M562</f>
        <v>1215230214</v>
      </c>
      <c r="K563" s="7">
        <f>MOD($K562+$I563,4294967296)</f>
        <v>2078904789</v>
      </c>
      <c r="L563" s="7">
        <f>$K562</f>
        <v>616625539</v>
      </c>
      <c r="M563" s="7">
        <f>$L562</f>
        <v>2913850362</v>
      </c>
    </row>
    <row r="564" spans="1:13">
      <c r="A564" s="7">
        <v>9</v>
      </c>
      <c r="B564" s="7">
        <v>41</v>
      </c>
      <c r="C564" s="7">
        <f>INDEX(Sheet2!$B$2:$B$65,$B564+1)</f>
        <v>3936430074</v>
      </c>
      <c r="D564" s="7">
        <f>INDEX(Sheet2!$C$2:$C$65,$B564+1)</f>
        <v>11</v>
      </c>
      <c r="E564" s="7">
        <f>INDEX(Sheet2!$D$2:$D$65,$B564+1)</f>
        <v>0</v>
      </c>
      <c r="F564" s="7">
        <f>INDEX(Sheet3!$AY$2:$BN$11,$A564,$E564+1)</f>
        <v>1701654643</v>
      </c>
      <c r="G564" s="7">
        <f>IF($B564&lt;16,_xlfn.BITOR(_xlfn.BITAND($K563,$L563),_xlfn.BITAND(4294967295-$K563,$M563)),IF($B564&lt;32,_xlfn.BITOR(_xlfn.BITAND($M563,$K563),_xlfn.BITAND(4294967295-$M563,$L563)),IF($B564&lt;48,_xlfn.BITXOR(_xlfn.BITXOR($K563,$L563),$M563),_xlfn.BITXOR($L563,_xlfn.BITOR($K563,4294967295-$M563)))))</f>
        <v>4068784044</v>
      </c>
      <c r="H564" s="7">
        <f>MOD($G564+$J563+$C564+$F564,4294967296)</f>
        <v>2332164383</v>
      </c>
      <c r="I564" s="7">
        <f>MOD($H564,2^(32-$D564))*2^$D564+INT($H564/2^(32-$D564))</f>
        <v>269024344</v>
      </c>
      <c r="J564" s="7">
        <f>$M563</f>
        <v>2913850362</v>
      </c>
      <c r="K564" s="7">
        <f>MOD($K563+$I564,4294967296)</f>
        <v>2347929133</v>
      </c>
      <c r="L564" s="7">
        <f>$K563</f>
        <v>2078904789</v>
      </c>
      <c r="M564" s="7">
        <f>$L563</f>
        <v>616625539</v>
      </c>
    </row>
    <row r="565" spans="1:13">
      <c r="A565" s="7">
        <v>9</v>
      </c>
      <c r="B565" s="7">
        <v>42</v>
      </c>
      <c r="C565" s="7">
        <f>INDEX(Sheet2!$B$2:$B$65,$B565+1)</f>
        <v>3572445317</v>
      </c>
      <c r="D565" s="7">
        <f>INDEX(Sheet2!$C$2:$C$65,$B565+1)</f>
        <v>16</v>
      </c>
      <c r="E565" s="7">
        <f>INDEX(Sheet2!$D$2:$D$65,$B565+1)</f>
        <v>3</v>
      </c>
      <c r="F565" s="7">
        <f>INDEX(Sheet3!$AY$2:$BN$11,$A565,$E565+1)</f>
        <v>1953248371</v>
      </c>
      <c r="G565" s="7">
        <f>IF($B565&lt;16,_xlfn.BITOR(_xlfn.BITAND($K564,$L564),_xlfn.BITAND(4294967295-$K564,$M564)),IF($B565&lt;32,_xlfn.BITOR(_xlfn.BITAND($M564,$K564),_xlfn.BITAND(4294967295-$M564,$L564)),IF($B565&lt;48,_xlfn.BITXOR(_xlfn.BITXOR($K564,$L564),$M564),_xlfn.BITXOR($L564,_xlfn.BITOR($K564,4294967295-$M564)))))</f>
        <v>3571182203</v>
      </c>
      <c r="H565" s="7">
        <f>MOD($G565+$J564+$C565+$F565,4294967296)</f>
        <v>3420791661</v>
      </c>
      <c r="I565" s="7">
        <f>MOD($H565,2^(32-$D565))*2^$D565+INT($H565/2^(32-$D565))</f>
        <v>594398181</v>
      </c>
      <c r="J565" s="7">
        <f>$M564</f>
        <v>616625539</v>
      </c>
      <c r="K565" s="7">
        <f>MOD($K564+$I565,4294967296)</f>
        <v>2942327314</v>
      </c>
      <c r="L565" s="7">
        <f>$K564</f>
        <v>2347929133</v>
      </c>
      <c r="M565" s="7">
        <f>$L564</f>
        <v>2078904789</v>
      </c>
    </row>
    <row r="566" spans="1:13">
      <c r="A566" s="7">
        <v>9</v>
      </c>
      <c r="B566" s="7">
        <v>43</v>
      </c>
      <c r="C566" s="7">
        <f>INDEX(Sheet2!$B$2:$B$65,$B566+1)</f>
        <v>76029189</v>
      </c>
      <c r="D566" s="7">
        <f>INDEX(Sheet2!$C$2:$C$65,$B566+1)</f>
        <v>23</v>
      </c>
      <c r="E566" s="7">
        <f>INDEX(Sheet2!$D$2:$D$65,$B566+1)</f>
        <v>6</v>
      </c>
      <c r="F566" s="7">
        <f>INDEX(Sheet3!$AY$2:$BN$11,$A566,$E566+1)</f>
        <v>0</v>
      </c>
      <c r="G566" s="7">
        <f>IF($B566&lt;16,_xlfn.BITOR(_xlfn.BITAND($K565,$L565),_xlfn.BITAND(4294967295-$K565,$M565)),IF($B566&lt;32,_xlfn.BITOR(_xlfn.BITAND($M565,$K565),_xlfn.BITAND(4294967295-$M565,$L565)),IF($B566&lt;48,_xlfn.BITXOR(_xlfn.BITXOR($K565,$L565),$M565),_xlfn.BITXOR($L565,_xlfn.BITOR($K565,4294967295-$M565)))))</f>
        <v>1601914346</v>
      </c>
      <c r="H566" s="7">
        <f>MOD($G566+$J565+$C566+$F566,4294967296)</f>
        <v>2294569074</v>
      </c>
      <c r="I566" s="7">
        <f>MOD($H566,2^(32-$D566))*2^$D566+INT($H566/2^(32-$D566))</f>
        <v>960782892</v>
      </c>
      <c r="J566" s="7">
        <f>$M565</f>
        <v>2078904789</v>
      </c>
      <c r="K566" s="7">
        <f>MOD($K565+$I566,4294967296)</f>
        <v>3903110206</v>
      </c>
      <c r="L566" s="7">
        <f>$K565</f>
        <v>2942327314</v>
      </c>
      <c r="M566" s="7">
        <f>$L565</f>
        <v>2347929133</v>
      </c>
    </row>
    <row r="567" spans="1:13">
      <c r="A567" s="7">
        <v>9</v>
      </c>
      <c r="B567" s="7">
        <v>44</v>
      </c>
      <c r="C567" s="7">
        <f>INDEX(Sheet2!$B$2:$B$65,$B567+1)</f>
        <v>3654602809</v>
      </c>
      <c r="D567" s="7">
        <f>INDEX(Sheet2!$C$2:$C$65,$B567+1)</f>
        <v>4</v>
      </c>
      <c r="E567" s="7">
        <f>INDEX(Sheet2!$D$2:$D$65,$B567+1)</f>
        <v>9</v>
      </c>
      <c r="F567" s="7">
        <f>INDEX(Sheet3!$AY$2:$BN$11,$A567,$E567+1)</f>
        <v>0</v>
      </c>
      <c r="G567" s="7">
        <f>IF($B567&lt;16,_xlfn.BITOR(_xlfn.BITAND($K566,$L566),_xlfn.BITAND(4294967295-$K566,$M566)),IF($B567&lt;32,_xlfn.BITOR(_xlfn.BITAND($M566,$K566),_xlfn.BITAND(4294967295-$M566,$L566)),IF($B567&lt;48,_xlfn.BITXOR(_xlfn.BITXOR($K566,$L566),$M566),_xlfn.BITXOR($L566,_xlfn.BITOR($K566,4294967295-$M566)))))</f>
        <v>3426117633</v>
      </c>
      <c r="H567" s="7">
        <f>MOD($G567+$J566+$C567+$F567,4294967296)</f>
        <v>569690639</v>
      </c>
      <c r="I567" s="7">
        <f>MOD($H567,2^(32-$D567))*2^$D567+INT($H567/2^(32-$D567))</f>
        <v>525115634</v>
      </c>
      <c r="J567" s="7">
        <f>$M566</f>
        <v>2347929133</v>
      </c>
      <c r="K567" s="7">
        <f>MOD($K566+$I567,4294967296)</f>
        <v>133258544</v>
      </c>
      <c r="L567" s="7">
        <f>$K566</f>
        <v>3903110206</v>
      </c>
      <c r="M567" s="7">
        <f>$L566</f>
        <v>2942327314</v>
      </c>
    </row>
    <row r="568" spans="1:13">
      <c r="A568" s="7">
        <v>9</v>
      </c>
      <c r="B568" s="7">
        <v>45</v>
      </c>
      <c r="C568" s="7">
        <f>INDEX(Sheet2!$B$2:$B$65,$B568+1)</f>
        <v>3873151461</v>
      </c>
      <c r="D568" s="7">
        <f>INDEX(Sheet2!$C$2:$C$65,$B568+1)</f>
        <v>11</v>
      </c>
      <c r="E568" s="7">
        <f>INDEX(Sheet2!$D$2:$D$65,$B568+1)</f>
        <v>12</v>
      </c>
      <c r="F568" s="7">
        <f>INDEX(Sheet3!$AY$2:$BN$11,$A568,$E568+1)</f>
        <v>0</v>
      </c>
      <c r="G568" s="7">
        <f>IF($B568&lt;16,_xlfn.BITOR(_xlfn.BITAND($K567,$L567),_xlfn.BITAND(4294967295-$K567,$M567)),IF($B568&lt;32,_xlfn.BITOR(_xlfn.BITAND($M567,$K567),_xlfn.BITAND(4294967295-$M567,$L567)),IF($B568&lt;48,_xlfn.BITXOR(_xlfn.BITXOR($K567,$L567),$M567),_xlfn.BITXOR($L567,_xlfn.BITOR($K567,4294967295-$M567)))))</f>
        <v>1077263132</v>
      </c>
      <c r="H568" s="7">
        <f>MOD($G568+$J567+$C568+$F568,4294967296)</f>
        <v>3003376430</v>
      </c>
      <c r="I568" s="7">
        <f>MOD($H568,2^(32-$D568))*2^$D568+INT($H568/2^(32-$D568))</f>
        <v>521762200</v>
      </c>
      <c r="J568" s="7">
        <f>$M567</f>
        <v>2942327314</v>
      </c>
      <c r="K568" s="7">
        <f>MOD($K567+$I568,4294967296)</f>
        <v>655020744</v>
      </c>
      <c r="L568" s="7">
        <f>$K567</f>
        <v>133258544</v>
      </c>
      <c r="M568" s="7">
        <f>$L567</f>
        <v>3903110206</v>
      </c>
    </row>
    <row r="569" spans="1:13">
      <c r="A569" s="7">
        <v>9</v>
      </c>
      <c r="B569" s="7">
        <v>46</v>
      </c>
      <c r="C569" s="7">
        <f>INDEX(Sheet2!$B$2:$B$65,$B569+1)</f>
        <v>530742520</v>
      </c>
      <c r="D569" s="7">
        <f>INDEX(Sheet2!$C$2:$C$65,$B569+1)</f>
        <v>16</v>
      </c>
      <c r="E569" s="7">
        <f>INDEX(Sheet2!$D$2:$D$65,$B569+1)</f>
        <v>15</v>
      </c>
      <c r="F569" s="7">
        <f>INDEX(Sheet3!$AY$2:$BN$11,$A569,$E569+1)</f>
        <v>0</v>
      </c>
      <c r="G569" s="7">
        <f>IF($B569&lt;16,_xlfn.BITOR(_xlfn.BITAND($K568,$L568),_xlfn.BITAND(4294967295-$K568,$M568)),IF($B569&lt;32,_xlfn.BITOR(_xlfn.BITAND($M568,$K568),_xlfn.BITAND(4294967295-$M568,$L568)),IF($B569&lt;48,_xlfn.BITXOR(_xlfn.BITXOR($K568,$L568),$M568),_xlfn.BITXOR($L568,_xlfn.BITOR($K568,4294967295-$M568)))))</f>
        <v>3361682374</v>
      </c>
      <c r="H569" s="7">
        <f>MOD($G569+$J568+$C569+$F569,4294967296)</f>
        <v>2539784912</v>
      </c>
      <c r="I569" s="7">
        <f>MOD($H569,2^(32-$D569))*2^$D569+INT($H569/2^(32-$D569))</f>
        <v>181442402</v>
      </c>
      <c r="J569" s="7">
        <f>$M568</f>
        <v>3903110206</v>
      </c>
      <c r="K569" s="7">
        <f>MOD($K568+$I569,4294967296)</f>
        <v>836463146</v>
      </c>
      <c r="L569" s="7">
        <f>$K568</f>
        <v>655020744</v>
      </c>
      <c r="M569" s="7">
        <f>$L568</f>
        <v>133258544</v>
      </c>
    </row>
    <row r="570" spans="1:13">
      <c r="A570" s="7">
        <v>9</v>
      </c>
      <c r="B570" s="7">
        <v>47</v>
      </c>
      <c r="C570" s="7">
        <f>INDEX(Sheet2!$B$2:$B$65,$B570+1)</f>
        <v>3299628645</v>
      </c>
      <c r="D570" s="7">
        <f>INDEX(Sheet2!$C$2:$C$65,$B570+1)</f>
        <v>23</v>
      </c>
      <c r="E570" s="7">
        <f>INDEX(Sheet2!$D$2:$D$65,$B570+1)</f>
        <v>2</v>
      </c>
      <c r="F570" s="7">
        <f>INDEX(Sheet3!$AY$2:$BN$11,$A570,$E570+1)</f>
        <v>1601792820</v>
      </c>
      <c r="G570" s="7">
        <f>IF($B570&lt;16,_xlfn.BITOR(_xlfn.BITAND($K569,$L569),_xlfn.BITAND(4294967295-$K569,$M569)),IF($B570&lt;32,_xlfn.BITOR(_xlfn.BITAND($M569,$K569),_xlfn.BITAND(4294967295-$M569,$L569)),IF($B570&lt;48,_xlfn.BITXOR(_xlfn.BITXOR($K569,$L569),$M569),_xlfn.BITXOR($L569,_xlfn.BITOR($K569,4294967295-$M569)))))</f>
        <v>287368658</v>
      </c>
      <c r="H570" s="7">
        <f>MOD($G570+$J569+$C570+$F570,4294967296)</f>
        <v>501965737</v>
      </c>
      <c r="I570" s="7">
        <f>MOD($H570,2^(32-$D570))*2^$D570+INT($H570/2^(32-$D570))</f>
        <v>3566138801</v>
      </c>
      <c r="J570" s="7">
        <f>$M569</f>
        <v>133258544</v>
      </c>
      <c r="K570" s="7">
        <f>MOD($K569+$I570,4294967296)</f>
        <v>107634651</v>
      </c>
      <c r="L570" s="7">
        <f>$K569</f>
        <v>836463146</v>
      </c>
      <c r="M570" s="7">
        <f>$L569</f>
        <v>655020744</v>
      </c>
    </row>
    <row r="571" spans="1:13">
      <c r="A571" s="7">
        <v>9</v>
      </c>
      <c r="B571" s="7">
        <v>48</v>
      </c>
      <c r="C571" s="7">
        <f>INDEX(Sheet2!$B$2:$B$65,$B571+1)</f>
        <v>4096336452</v>
      </c>
      <c r="D571" s="7">
        <f>INDEX(Sheet2!$C$2:$C$65,$B571+1)</f>
        <v>6</v>
      </c>
      <c r="E571" s="7">
        <f>INDEX(Sheet2!$D$2:$D$65,$B571+1)</f>
        <v>0</v>
      </c>
      <c r="F571" s="7">
        <f>INDEX(Sheet3!$AY$2:$BN$11,$A571,$E571+1)</f>
        <v>1701654643</v>
      </c>
      <c r="G571" s="7">
        <f>IF($B571&lt;16,_xlfn.BITOR(_xlfn.BITAND($K570,$L570),_xlfn.BITAND(4294967295-$K570,$M570)),IF($B571&lt;32,_xlfn.BITOR(_xlfn.BITAND($M570,$K570),_xlfn.BITAND(4294967295-$M570,$L570)),IF($B571&lt;48,_xlfn.BITXOR(_xlfn.BITXOR($K570,$L570),$M570),_xlfn.BITXOR($L570,_xlfn.BITOR($K570,4294967295-$M570)))))</f>
        <v>4012119509</v>
      </c>
      <c r="H571" s="7">
        <f>MOD($G571+$J570+$C571+$F571,4294967296)</f>
        <v>1353434556</v>
      </c>
      <c r="I571" s="7">
        <f>MOD($H571,2^(32-$D571))*2^$D571+INT($H571/2^(32-$D571))</f>
        <v>720465684</v>
      </c>
      <c r="J571" s="7">
        <f>$M570</f>
        <v>655020744</v>
      </c>
      <c r="K571" s="7">
        <f>MOD($K570+$I571,4294967296)</f>
        <v>828100335</v>
      </c>
      <c r="L571" s="7">
        <f>$K570</f>
        <v>107634651</v>
      </c>
      <c r="M571" s="7">
        <f>$L570</f>
        <v>836463146</v>
      </c>
    </row>
    <row r="572" spans="1:13">
      <c r="A572" s="7">
        <v>9</v>
      </c>
      <c r="B572" s="7">
        <v>49</v>
      </c>
      <c r="C572" s="7">
        <f>INDEX(Sheet2!$B$2:$B$65,$B572+1)</f>
        <v>1126891415</v>
      </c>
      <c r="D572" s="7">
        <f>INDEX(Sheet2!$C$2:$C$65,$B572+1)</f>
        <v>10</v>
      </c>
      <c r="E572" s="7">
        <f>INDEX(Sheet2!$D$2:$D$65,$B572+1)</f>
        <v>7</v>
      </c>
      <c r="F572" s="7">
        <f>INDEX(Sheet3!$AY$2:$BN$11,$A572,$E572+1)</f>
        <v>0</v>
      </c>
      <c r="G572" s="7">
        <f>IF($B572&lt;16,_xlfn.BITOR(_xlfn.BITAND($K571,$L571),_xlfn.BITAND(4294967295-$K571,$M571)),IF($B572&lt;32,_xlfn.BITOR(_xlfn.BITAND($M571,$K571),_xlfn.BITAND(4294967295-$M571,$L571)),IF($B572&lt;48,_xlfn.BITXOR(_xlfn.BITXOR($K571,$L571),$M571),_xlfn.BITXOR($L571,_xlfn.BITOR($K571,4294967295-$M571)))))</f>
        <v>4178935844</v>
      </c>
      <c r="H572" s="7">
        <f>MOD($G572+$J571+$C572+$F572,4294967296)</f>
        <v>1665880707</v>
      </c>
      <c r="I572" s="7">
        <f>MOD($H572,2^(32-$D572))*2^$D572+INT($H572/2^(32-$D572))</f>
        <v>759827853</v>
      </c>
      <c r="J572" s="7">
        <f>$M571</f>
        <v>836463146</v>
      </c>
      <c r="K572" s="7">
        <f>MOD($K571+$I572,4294967296)</f>
        <v>1587928188</v>
      </c>
      <c r="L572" s="7">
        <f>$K571</f>
        <v>828100335</v>
      </c>
      <c r="M572" s="7">
        <f>$L571</f>
        <v>107634651</v>
      </c>
    </row>
    <row r="573" spans="1:13">
      <c r="A573" s="7">
        <v>9</v>
      </c>
      <c r="B573" s="7">
        <v>50</v>
      </c>
      <c r="C573" s="7">
        <f>INDEX(Sheet2!$B$2:$B$65,$B573+1)</f>
        <v>2878612391</v>
      </c>
      <c r="D573" s="7">
        <f>INDEX(Sheet2!$C$2:$C$65,$B573+1)</f>
        <v>15</v>
      </c>
      <c r="E573" s="7">
        <f>INDEX(Sheet2!$D$2:$D$65,$B573+1)</f>
        <v>14</v>
      </c>
      <c r="F573" s="7">
        <f>INDEX(Sheet3!$AY$2:$BN$11,$A573,$E573+1)</f>
        <v>152</v>
      </c>
      <c r="G573" s="7">
        <f>IF($B573&lt;16,_xlfn.BITOR(_xlfn.BITAND($K572,$L572),_xlfn.BITAND(4294967295-$K572,$M572)),IF($B573&lt;32,_xlfn.BITOR(_xlfn.BITAND($M572,$K572),_xlfn.BITAND(4294967295-$M572,$L572)),IF($B573&lt;48,_xlfn.BITXOR(_xlfn.BITXOR($K572,$L572),$M572),_xlfn.BITXOR($L572,_xlfn.BITOR($K572,4294967295-$M572)))))</f>
        <v>3471717011</v>
      </c>
      <c r="H573" s="7">
        <f>MOD($G573+$J572+$C573+$F573,4294967296)</f>
        <v>2891825404</v>
      </c>
      <c r="I573" s="7">
        <f>MOD($H573,2^(32-$D573))*2^$D573+INT($H573/2^(32-$D573))</f>
        <v>3766375982</v>
      </c>
      <c r="J573" s="7">
        <f>$M572</f>
        <v>107634651</v>
      </c>
      <c r="K573" s="7">
        <f>MOD($K572+$I573,4294967296)</f>
        <v>1059336874</v>
      </c>
      <c r="L573" s="7">
        <f>$K572</f>
        <v>1587928188</v>
      </c>
      <c r="M573" s="7">
        <f>$L572</f>
        <v>828100335</v>
      </c>
    </row>
    <row r="574" spans="1:13">
      <c r="A574" s="7">
        <v>9</v>
      </c>
      <c r="B574" s="7">
        <v>51</v>
      </c>
      <c r="C574" s="7">
        <f>INDEX(Sheet2!$B$2:$B$65,$B574+1)</f>
        <v>4237533241</v>
      </c>
      <c r="D574" s="7">
        <f>INDEX(Sheet2!$C$2:$C$65,$B574+1)</f>
        <v>21</v>
      </c>
      <c r="E574" s="7">
        <f>INDEX(Sheet2!$D$2:$D$65,$B574+1)</f>
        <v>5</v>
      </c>
      <c r="F574" s="7">
        <f>INDEX(Sheet3!$AY$2:$BN$11,$A574,$E574+1)</f>
        <v>0</v>
      </c>
      <c r="G574" s="7">
        <f>IF($B574&lt;16,_xlfn.BITOR(_xlfn.BITAND($K573,$L573),_xlfn.BITAND(4294967295-$K573,$M573)),IF($B574&lt;32,_xlfn.BITOR(_xlfn.BITAND($M573,$K573),_xlfn.BITAND(4294967295-$M573,$L573)),IF($B574&lt;48,_xlfn.BITXOR(_xlfn.BITXOR($K573,$L573),$M573),_xlfn.BITXOR($L573,_xlfn.BITOR($K573,4294967295-$M573)))))</f>
        <v>2701258694</v>
      </c>
      <c r="H574" s="7">
        <f>MOD($G574+$J573+$C574+$F574,4294967296)</f>
        <v>2751459290</v>
      </c>
      <c r="I574" s="7">
        <f>MOD($H574,2^(32-$D574))*2^$D574+INT($H574/2^(32-$D574))</f>
        <v>4216619005</v>
      </c>
      <c r="J574" s="7">
        <f>$M573</f>
        <v>828100335</v>
      </c>
      <c r="K574" s="7">
        <f>MOD($K573+$I574,4294967296)</f>
        <v>980988583</v>
      </c>
      <c r="L574" s="7">
        <f>$K573</f>
        <v>1059336874</v>
      </c>
      <c r="M574" s="7">
        <f>$L573</f>
        <v>1587928188</v>
      </c>
    </row>
    <row r="575" spans="1:13">
      <c r="A575" s="7">
        <v>9</v>
      </c>
      <c r="B575" s="7">
        <v>52</v>
      </c>
      <c r="C575" s="7">
        <f>INDEX(Sheet2!$B$2:$B$65,$B575+1)</f>
        <v>1700485571</v>
      </c>
      <c r="D575" s="7">
        <f>INDEX(Sheet2!$C$2:$C$65,$B575+1)</f>
        <v>6</v>
      </c>
      <c r="E575" s="7">
        <f>INDEX(Sheet2!$D$2:$D$65,$B575+1)</f>
        <v>12</v>
      </c>
      <c r="F575" s="7">
        <f>INDEX(Sheet3!$AY$2:$BN$11,$A575,$E575+1)</f>
        <v>0</v>
      </c>
      <c r="G575" s="7">
        <f>IF($B575&lt;16,_xlfn.BITOR(_xlfn.BITAND($K574,$L574),_xlfn.BITAND(4294967295-$K574,$M574)),IF($B575&lt;32,_xlfn.BITOR(_xlfn.BITAND($M574,$K574),_xlfn.BITAND(4294967295-$M574,$L574)),IF($B575&lt;48,_xlfn.BITXOR(_xlfn.BITXOR($K574,$L574),$M574),_xlfn.BITXOR($L574,_xlfn.BITOR($K574,4294967295-$M574)))))</f>
        <v>2220785933</v>
      </c>
      <c r="H575" s="7">
        <f>MOD($G575+$J574+$C575+$F575,4294967296)</f>
        <v>454404543</v>
      </c>
      <c r="I575" s="7">
        <f>MOD($H575,2^(32-$D575))*2^$D575+INT($H575/2^(32-$D575))</f>
        <v>3312086982</v>
      </c>
      <c r="J575" s="7">
        <f>$M574</f>
        <v>1587928188</v>
      </c>
      <c r="K575" s="7">
        <f>MOD($K574+$I575,4294967296)</f>
        <v>4293075565</v>
      </c>
      <c r="L575" s="7">
        <f>$K574</f>
        <v>980988583</v>
      </c>
      <c r="M575" s="7">
        <f>$L574</f>
        <v>1059336874</v>
      </c>
    </row>
    <row r="576" spans="1:13">
      <c r="A576" s="7">
        <v>9</v>
      </c>
      <c r="B576" s="7">
        <v>53</v>
      </c>
      <c r="C576" s="7">
        <f>INDEX(Sheet2!$B$2:$B$65,$B576+1)</f>
        <v>2399980690</v>
      </c>
      <c r="D576" s="7">
        <f>INDEX(Sheet2!$C$2:$C$65,$B576+1)</f>
        <v>10</v>
      </c>
      <c r="E576" s="7">
        <f>INDEX(Sheet2!$D$2:$D$65,$B576+1)</f>
        <v>3</v>
      </c>
      <c r="F576" s="7">
        <f>INDEX(Sheet3!$AY$2:$BN$11,$A576,$E576+1)</f>
        <v>1953248371</v>
      </c>
      <c r="G576" s="7">
        <f>IF($B576&lt;16,_xlfn.BITOR(_xlfn.BITAND($K575,$L575),_xlfn.BITAND(4294967295-$K575,$M575)),IF($B576&lt;32,_xlfn.BITOR(_xlfn.BITAND($M575,$K575),_xlfn.BITAND(4294967295-$M575,$L575)),IF($B576&lt;48,_xlfn.BITXOR(_xlfn.BITXOR($K575,$L575),$M575),_xlfn.BITXOR($L575,_xlfn.BITOR($K575,4294967295-$M575)))))</f>
        <v>3313720794</v>
      </c>
      <c r="H576" s="7">
        <f>MOD($G576+$J575+$C576+$F576,4294967296)</f>
        <v>664943451</v>
      </c>
      <c r="I576" s="7">
        <f>MOD($H576,2^(32-$D576))*2^$D576+INT($H576/2^(32-$D576))</f>
        <v>2297261214</v>
      </c>
      <c r="J576" s="7">
        <f>$M575</f>
        <v>1059336874</v>
      </c>
      <c r="K576" s="7">
        <f>MOD($K575+$I576,4294967296)</f>
        <v>2295369483</v>
      </c>
      <c r="L576" s="7">
        <f>$K575</f>
        <v>4293075565</v>
      </c>
      <c r="M576" s="7">
        <f>$L575</f>
        <v>980988583</v>
      </c>
    </row>
    <row r="577" spans="1:13">
      <c r="A577" s="7">
        <v>9</v>
      </c>
      <c r="B577" s="7">
        <v>54</v>
      </c>
      <c r="C577" s="7">
        <f>INDEX(Sheet2!$B$2:$B$65,$B577+1)</f>
        <v>4293915773</v>
      </c>
      <c r="D577" s="7">
        <f>INDEX(Sheet2!$C$2:$C$65,$B577+1)</f>
        <v>15</v>
      </c>
      <c r="E577" s="7">
        <f>INDEX(Sheet2!$D$2:$D$65,$B577+1)</f>
        <v>10</v>
      </c>
      <c r="F577" s="7">
        <f>INDEX(Sheet3!$AY$2:$BN$11,$A577,$E577+1)</f>
        <v>0</v>
      </c>
      <c r="G577" s="7">
        <f>IF($B577&lt;16,_xlfn.BITOR(_xlfn.BITAND($K576,$L576),_xlfn.BITAND(4294967295-$K576,$M576)),IF($B577&lt;32,_xlfn.BITOR(_xlfn.BITAND($M576,$K576),_xlfn.BITAND(4294967295-$M576,$L576)),IF($B577&lt;48,_xlfn.BITXOR(_xlfn.BITXOR($K576,$L576),$M576),_xlfn.BITXOR($L576,_xlfn.BITOR($K576,4294967295-$M576)))))</f>
        <v>842329398</v>
      </c>
      <c r="H577" s="7">
        <f>MOD($G577+$J576+$C577+$F577,4294967296)</f>
        <v>1900614749</v>
      </c>
      <c r="I577" s="7">
        <f>MOD($H577,2^(32-$D577))*2^$D577+INT($H577/2^(32-$D577))</f>
        <v>2318317732</v>
      </c>
      <c r="J577" s="7">
        <f>$M576</f>
        <v>980988583</v>
      </c>
      <c r="K577" s="7">
        <f>MOD($K576+$I577,4294967296)</f>
        <v>318719919</v>
      </c>
      <c r="L577" s="7">
        <f>$K576</f>
        <v>2295369483</v>
      </c>
      <c r="M577" s="7">
        <f>$L576</f>
        <v>4293075565</v>
      </c>
    </row>
    <row r="578" spans="1:13">
      <c r="A578" s="7">
        <v>9</v>
      </c>
      <c r="B578" s="7">
        <v>55</v>
      </c>
      <c r="C578" s="7">
        <f>INDEX(Sheet2!$B$2:$B$65,$B578+1)</f>
        <v>2240044497</v>
      </c>
      <c r="D578" s="7">
        <f>INDEX(Sheet2!$C$2:$C$65,$B578+1)</f>
        <v>21</v>
      </c>
      <c r="E578" s="7">
        <f>INDEX(Sheet2!$D$2:$D$65,$B578+1)</f>
        <v>1</v>
      </c>
      <c r="F578" s="7">
        <f>INDEX(Sheet3!$AY$2:$BN$11,$A578,$E578+1)</f>
        <v>862876511</v>
      </c>
      <c r="G578" s="7">
        <f>IF($B578&lt;16,_xlfn.BITOR(_xlfn.BITAND($K577,$L577),_xlfn.BITAND(4294967295-$K577,$M577)),IF($B578&lt;32,_xlfn.BITOR(_xlfn.BITAND($M577,$K577),_xlfn.BITAND(4294967295-$M577,$L577)),IF($B578&lt;48,_xlfn.BITXOR(_xlfn.BITXOR($K577,$L577),$M577),_xlfn.BITXOR($L577,_xlfn.BITOR($K577,4294967295-$M577)))))</f>
        <v>2586792116</v>
      </c>
      <c r="H578" s="7">
        <f>MOD($G578+$J577+$C578+$F578,4294967296)</f>
        <v>2375734411</v>
      </c>
      <c r="I578" s="7">
        <f>MOD($H578,2^(32-$D578))*2^$D578+INT($H578/2^(32-$D578))</f>
        <v>2440147802</v>
      </c>
      <c r="J578" s="7">
        <f>$M577</f>
        <v>4293075565</v>
      </c>
      <c r="K578" s="7">
        <f>MOD($K577+$I578,4294967296)</f>
        <v>2758867721</v>
      </c>
      <c r="L578" s="7">
        <f>$K577</f>
        <v>318719919</v>
      </c>
      <c r="M578" s="7">
        <f>$L577</f>
        <v>2295369483</v>
      </c>
    </row>
    <row r="579" spans="1:13">
      <c r="A579" s="7">
        <v>9</v>
      </c>
      <c r="B579" s="7">
        <v>56</v>
      </c>
      <c r="C579" s="7">
        <f>INDEX(Sheet2!$B$2:$B$65,$B579+1)</f>
        <v>1873313359</v>
      </c>
      <c r="D579" s="7">
        <f>INDEX(Sheet2!$C$2:$C$65,$B579+1)</f>
        <v>6</v>
      </c>
      <c r="E579" s="7">
        <f>INDEX(Sheet2!$D$2:$D$65,$B579+1)</f>
        <v>8</v>
      </c>
      <c r="F579" s="7">
        <f>INDEX(Sheet3!$AY$2:$BN$11,$A579,$E579+1)</f>
        <v>0</v>
      </c>
      <c r="G579" s="7">
        <f>IF($B579&lt;16,_xlfn.BITOR(_xlfn.BITAND($K578,$L578),_xlfn.BITAND(4294967295-$K578,$M578)),IF($B579&lt;32,_xlfn.BITOR(_xlfn.BITAND($M578,$K578),_xlfn.BITAND(4294967295-$M578,$L578)),IF($B579&lt;48,_xlfn.BITXOR(_xlfn.BITXOR($K578,$L578),$M578),_xlfn.BITXOR($L578,_xlfn.BITOR($K578,4294967295-$M578)))))</f>
        <v>3850419282</v>
      </c>
      <c r="H579" s="7">
        <f>MOD($G579+$J578+$C579+$F579,4294967296)</f>
        <v>1426873614</v>
      </c>
      <c r="I579" s="7">
        <f>MOD($H579,2^(32-$D579))*2^$D579+INT($H579/2^(32-$D579))</f>
        <v>1125598101</v>
      </c>
      <c r="J579" s="7">
        <f>$M578</f>
        <v>2295369483</v>
      </c>
      <c r="K579" s="7">
        <f>MOD($K578+$I579,4294967296)</f>
        <v>3884465822</v>
      </c>
      <c r="L579" s="7">
        <f>$K578</f>
        <v>2758867721</v>
      </c>
      <c r="M579" s="7">
        <f>$L578</f>
        <v>318719919</v>
      </c>
    </row>
    <row r="580" spans="1:13">
      <c r="A580" s="7">
        <v>9</v>
      </c>
      <c r="B580" s="7">
        <v>57</v>
      </c>
      <c r="C580" s="7">
        <f>INDEX(Sheet2!$B$2:$B$65,$B580+1)</f>
        <v>4264355552</v>
      </c>
      <c r="D580" s="7">
        <f>INDEX(Sheet2!$C$2:$C$65,$B580+1)</f>
        <v>10</v>
      </c>
      <c r="E580" s="7">
        <f>INDEX(Sheet2!$D$2:$D$65,$B580+1)</f>
        <v>15</v>
      </c>
      <c r="F580" s="7">
        <f>INDEX(Sheet3!$AY$2:$BN$11,$A580,$E580+1)</f>
        <v>0</v>
      </c>
      <c r="G580" s="7">
        <f>IF($B580&lt;16,_xlfn.BITOR(_xlfn.BITAND($K579,$L579),_xlfn.BITAND(4294967295-$K579,$M579)),IF($B580&lt;32,_xlfn.BITOR(_xlfn.BITAND($M579,$K579),_xlfn.BITAND(4294967295-$M579,$L579)),IF($B580&lt;48,_xlfn.BITXOR(_xlfn.BITXOR($K579,$L579),$M579),_xlfn.BITXOR($L579,_xlfn.BITOR($K579,4294967295-$M579)))))</f>
        <v>1274562007</v>
      </c>
      <c r="H580" s="7">
        <f>MOD($G580+$J579+$C580+$F580,4294967296)</f>
        <v>3539319746</v>
      </c>
      <c r="I580" s="7">
        <f>MOD($H580,2^(32-$D580))*2^$D580+INT($H580/2^(32-$D580))</f>
        <v>3605990219</v>
      </c>
      <c r="J580" s="7">
        <f>$M579</f>
        <v>318719919</v>
      </c>
      <c r="K580" s="7">
        <f>MOD($K579+$I580,4294967296)</f>
        <v>3195488745</v>
      </c>
      <c r="L580" s="7">
        <f>$K579</f>
        <v>3884465822</v>
      </c>
      <c r="M580" s="7">
        <f>$L579</f>
        <v>2758867721</v>
      </c>
    </row>
    <row r="581" spans="1:13">
      <c r="A581" s="7">
        <v>9</v>
      </c>
      <c r="B581" s="7">
        <v>58</v>
      </c>
      <c r="C581" s="7">
        <f>INDEX(Sheet2!$B$2:$B$65,$B581+1)</f>
        <v>2734768916</v>
      </c>
      <c r="D581" s="7">
        <f>INDEX(Sheet2!$C$2:$C$65,$B581+1)</f>
        <v>15</v>
      </c>
      <c r="E581" s="7">
        <f>INDEX(Sheet2!$D$2:$D$65,$B581+1)</f>
        <v>6</v>
      </c>
      <c r="F581" s="7">
        <f>INDEX(Sheet3!$AY$2:$BN$11,$A581,$E581+1)</f>
        <v>0</v>
      </c>
      <c r="G581" s="7">
        <f>IF($B581&lt;16,_xlfn.BITOR(_xlfn.BITAND($K580,$L580),_xlfn.BITAND(4294967295-$K580,$M580)),IF($B581&lt;32,_xlfn.BITOR(_xlfn.BITAND($M580,$K580),_xlfn.BITAND(4294967295-$M580,$L580)),IF($B581&lt;48,_xlfn.BITXOR(_xlfn.BITXOR($K580,$L580),$M580),_xlfn.BITXOR($L580,_xlfn.BITOR($K580,4294967295-$M580)))))</f>
        <v>410481505</v>
      </c>
      <c r="H581" s="7">
        <f>MOD($G581+$J580+$C581+$F581,4294967296)</f>
        <v>3463970340</v>
      </c>
      <c r="I581" s="7">
        <f>MOD($H581,2^(32-$D581))*2^$D581+INT($H581/2^(32-$D581))</f>
        <v>4279396155</v>
      </c>
      <c r="J581" s="7">
        <f>$M580</f>
        <v>2758867721</v>
      </c>
      <c r="K581" s="7">
        <f>MOD($K580+$I581,4294967296)</f>
        <v>3179917604</v>
      </c>
      <c r="L581" s="7">
        <f>$K580</f>
        <v>3195488745</v>
      </c>
      <c r="M581" s="7">
        <f>$L580</f>
        <v>3884465822</v>
      </c>
    </row>
    <row r="582" spans="1:13">
      <c r="A582" s="7">
        <v>9</v>
      </c>
      <c r="B582" s="7">
        <v>59</v>
      </c>
      <c r="C582" s="7">
        <f>INDEX(Sheet2!$B$2:$B$65,$B582+1)</f>
        <v>1309151649</v>
      </c>
      <c r="D582" s="7">
        <f>INDEX(Sheet2!$C$2:$C$65,$B582+1)</f>
        <v>21</v>
      </c>
      <c r="E582" s="7">
        <f>INDEX(Sheet2!$D$2:$D$65,$B582+1)</f>
        <v>13</v>
      </c>
      <c r="F582" s="7">
        <f>INDEX(Sheet3!$AY$2:$BN$11,$A582,$E582+1)</f>
        <v>0</v>
      </c>
      <c r="G582" s="7">
        <f>IF($B582&lt;16,_xlfn.BITOR(_xlfn.BITAND($K581,$L581),_xlfn.BITAND(4294967295-$K581,$M581)),IF($B582&lt;32,_xlfn.BITOR(_xlfn.BITAND($M581,$K581),_xlfn.BITAND(4294967295-$M581,$L581)),IF($B582&lt;48,_xlfn.BITXOR(_xlfn.BITXOR($K581,$L581),$M581),_xlfn.BITXOR($L581,_xlfn.BITOR($K581,4294967295-$M581)))))</f>
        <v>59291788</v>
      </c>
      <c r="H582" s="7">
        <f>MOD($G582+$J581+$C582+$F582,4294967296)</f>
        <v>4127311158</v>
      </c>
      <c r="I582" s="7">
        <f>MOD($H582,2^(32-$D582))*2^$D582+INT($H582/2^(32-$D582))</f>
        <v>2799616056</v>
      </c>
      <c r="J582" s="7">
        <f>$M581</f>
        <v>3884465822</v>
      </c>
      <c r="K582" s="7">
        <f>MOD($K581+$I582,4294967296)</f>
        <v>1684566364</v>
      </c>
      <c r="L582" s="7">
        <f>$K581</f>
        <v>3179917604</v>
      </c>
      <c r="M582" s="7">
        <f>$L581</f>
        <v>3195488745</v>
      </c>
    </row>
    <row r="583" spans="1:13">
      <c r="A583" s="7">
        <v>9</v>
      </c>
      <c r="B583" s="7">
        <v>60</v>
      </c>
      <c r="C583" s="7">
        <f>INDEX(Sheet2!$B$2:$B$65,$B583+1)</f>
        <v>4149444226</v>
      </c>
      <c r="D583" s="7">
        <f>INDEX(Sheet2!$C$2:$C$65,$B583+1)</f>
        <v>6</v>
      </c>
      <c r="E583" s="7">
        <f>INDEX(Sheet2!$D$2:$D$65,$B583+1)</f>
        <v>4</v>
      </c>
      <c r="F583" s="7">
        <f>INDEX(Sheet3!$AY$2:$BN$11,$A583,$E583+1)</f>
        <v>2151628607</v>
      </c>
      <c r="G583" s="7">
        <f>IF($B583&lt;16,_xlfn.BITOR(_xlfn.BITAND($K582,$L582),_xlfn.BITAND(4294967295-$K582,$M582)),IF($B583&lt;32,_xlfn.BITOR(_xlfn.BITAND($M582,$K582),_xlfn.BITAND(4294967295-$M582,$L582)),IF($B583&lt;48,_xlfn.BITXOR(_xlfn.BITXOR($K582,$L582),$M582),_xlfn.BITXOR($L582,_xlfn.BITOR($K582,4294967295-$M582)))))</f>
        <v>3630253690</v>
      </c>
      <c r="H583" s="7">
        <f>MOD($G583+$J582+$C583+$F583,4294967296)</f>
        <v>930890457</v>
      </c>
      <c r="I583" s="7">
        <f>MOD($H583,2^(32-$D583))*2^$D583+INT($H583/2^(32-$D583))</f>
        <v>3742414413</v>
      </c>
      <c r="J583" s="7">
        <f>$M582</f>
        <v>3195488745</v>
      </c>
      <c r="K583" s="7">
        <f>MOD($K582+$I583,4294967296)</f>
        <v>1132013481</v>
      </c>
      <c r="L583" s="7">
        <f>$K582</f>
        <v>1684566364</v>
      </c>
      <c r="M583" s="7">
        <f>$L582</f>
        <v>3179917604</v>
      </c>
    </row>
    <row r="584" spans="1:13">
      <c r="A584" s="7">
        <v>9</v>
      </c>
      <c r="B584" s="7">
        <v>61</v>
      </c>
      <c r="C584" s="7">
        <f>INDEX(Sheet2!$B$2:$B$65,$B584+1)</f>
        <v>3174756917</v>
      </c>
      <c r="D584" s="7">
        <f>INDEX(Sheet2!$C$2:$C$65,$B584+1)</f>
        <v>10</v>
      </c>
      <c r="E584" s="7">
        <f>INDEX(Sheet2!$D$2:$D$65,$B584+1)</f>
        <v>11</v>
      </c>
      <c r="F584" s="7">
        <f>INDEX(Sheet3!$AY$2:$BN$11,$A584,$E584+1)</f>
        <v>0</v>
      </c>
      <c r="G584" s="7">
        <f>IF($B584&lt;16,_xlfn.BITOR(_xlfn.BITAND($K583,$L583),_xlfn.BITAND(4294967295-$K583,$M583)),IF($B584&lt;32,_xlfn.BITOR(_xlfn.BITAND($M583,$K583),_xlfn.BITAND(4294967295-$M583,$L583)),IF($B584&lt;48,_xlfn.BITXOR(_xlfn.BITXOR($K583,$L583),$M583),_xlfn.BITXOR($L583,_xlfn.BITOR($K583,4294967295-$M583)))))</f>
        <v>655826599</v>
      </c>
      <c r="H584" s="7">
        <f>MOD($G584+$J583+$C584+$F584,4294967296)</f>
        <v>2731104965</v>
      </c>
      <c r="I584" s="7">
        <f>MOD($H584,2^(32-$D584))*2^$D584+INT($H584/2^(32-$D584))</f>
        <v>627775115</v>
      </c>
      <c r="J584" s="7">
        <f>$M583</f>
        <v>3179917604</v>
      </c>
      <c r="K584" s="7">
        <f>MOD($K583+$I584,4294967296)</f>
        <v>1759788596</v>
      </c>
      <c r="L584" s="7">
        <f>$K583</f>
        <v>1132013481</v>
      </c>
      <c r="M584" s="7">
        <f>$L583</f>
        <v>1684566364</v>
      </c>
    </row>
    <row r="585" spans="1:13">
      <c r="A585" s="7">
        <v>9</v>
      </c>
      <c r="B585" s="7">
        <v>62</v>
      </c>
      <c r="C585" s="7">
        <f>INDEX(Sheet2!$B$2:$B$65,$B585+1)</f>
        <v>718787259</v>
      </c>
      <c r="D585" s="7">
        <f>INDEX(Sheet2!$C$2:$C$65,$B585+1)</f>
        <v>15</v>
      </c>
      <c r="E585" s="7">
        <f>INDEX(Sheet2!$D$2:$D$65,$B585+1)</f>
        <v>2</v>
      </c>
      <c r="F585" s="7">
        <f>INDEX(Sheet3!$AY$2:$BN$11,$A585,$E585+1)</f>
        <v>1601792820</v>
      </c>
      <c r="G585" s="7">
        <f>IF($B585&lt;16,_xlfn.BITOR(_xlfn.BITAND($K584,$L584),_xlfn.BITAND(4294967295-$K584,$M584)),IF($B585&lt;32,_xlfn.BITOR(_xlfn.BITAND($M584,$K584),_xlfn.BITAND(4294967295-$M584,$L584)),IF($B585&lt;48,_xlfn.BITXOR(_xlfn.BITXOR($K584,$L584),$M584),_xlfn.BITXOR($L584,_xlfn.BITOR($K584,4294967295-$M584)))))</f>
        <v>3096353054</v>
      </c>
      <c r="H585" s="7">
        <f>MOD($G585+$J584+$C585+$F585,4294967296)</f>
        <v>6916145</v>
      </c>
      <c r="I585" s="7">
        <f>MOD($H585,2^(32-$D585))*2^$D585+INT($H585/2^(32-$D585))</f>
        <v>3289940020</v>
      </c>
      <c r="J585" s="7">
        <f>$M584</f>
        <v>1684566364</v>
      </c>
      <c r="K585" s="7">
        <f>MOD($K584+$I585,4294967296)</f>
        <v>754761320</v>
      </c>
      <c r="L585" s="7">
        <f>$K584</f>
        <v>1759788596</v>
      </c>
      <c r="M585" s="7">
        <f>$L584</f>
        <v>1132013481</v>
      </c>
    </row>
    <row r="586" spans="1:13">
      <c r="A586" s="7">
        <v>9</v>
      </c>
      <c r="B586" s="7">
        <v>63</v>
      </c>
      <c r="C586" s="7">
        <f>INDEX(Sheet2!$B$2:$B$65,$B586+1)</f>
        <v>3951481745</v>
      </c>
      <c r="D586" s="7">
        <f>INDEX(Sheet2!$C$2:$C$65,$B586+1)</f>
        <v>21</v>
      </c>
      <c r="E586" s="7">
        <f>INDEX(Sheet2!$D$2:$D$65,$B586+1)</f>
        <v>9</v>
      </c>
      <c r="F586" s="7">
        <f>INDEX(Sheet3!$AY$2:$BN$11,$A586,$E586+1)</f>
        <v>0</v>
      </c>
      <c r="G586" s="7">
        <f>IF($B586&lt;16,_xlfn.BITOR(_xlfn.BITAND($K585,$L585),_xlfn.BITAND(4294967295-$K585,$M585)),IF($B586&lt;32,_xlfn.BITOR(_xlfn.BITAND($M585,$K585),_xlfn.BITAND(4294967295-$M585,$L585)),IF($B586&lt;48,_xlfn.BITXOR(_xlfn.BITXOR($K585,$L585),$M585),_xlfn.BITXOR($L585,_xlfn.BITOR($K585,4294967295-$M585)))))</f>
        <v>3558522954</v>
      </c>
      <c r="H586" s="7">
        <f>MOD($G586+$J585+$C586+$F586,4294967296)</f>
        <v>604636471</v>
      </c>
      <c r="I586" s="7">
        <f>MOD($H586,2^(32-$D586))*2^$D586+INT($H586/2^(32-$D586))</f>
        <v>2799993152</v>
      </c>
      <c r="J586" s="7">
        <f>$M585</f>
        <v>1132013481</v>
      </c>
      <c r="K586" s="7">
        <f>MOD($K585+$I586,4294967296)</f>
        <v>3554754472</v>
      </c>
      <c r="L586" s="7">
        <f>$K585</f>
        <v>754761320</v>
      </c>
      <c r="M586" s="7">
        <f>$L585</f>
        <v>1759788596</v>
      </c>
    </row>
    <row r="587" spans="1:13">
      <c r="A587" s="8">
        <v>10</v>
      </c>
      <c r="B587" s="8">
        <v>-1</v>
      </c>
      <c r="J587" s="8">
        <v>1732584193</v>
      </c>
      <c r="K587" s="8">
        <v>4023233417</v>
      </c>
      <c r="L587" s="8">
        <v>2562383102</v>
      </c>
      <c r="M587" s="8">
        <v>271733878</v>
      </c>
    </row>
    <row r="588" spans="1:13">
      <c r="A588" s="7">
        <v>10</v>
      </c>
      <c r="B588" s="7">
        <v>0</v>
      </c>
      <c r="C588" s="7">
        <f>INDEX(Sheet2!$B$2:$B$65,$B588+1)</f>
        <v>3614090360</v>
      </c>
      <c r="D588" s="7">
        <f>INDEX(Sheet2!$C$2:$C$65,$B588+1)</f>
        <v>7</v>
      </c>
      <c r="E588" s="7">
        <f>INDEX(Sheet2!$D$2:$D$65,$B588+1)</f>
        <v>0</v>
      </c>
      <c r="F588" s="7">
        <f>INDEX(Sheet3!$AY$2:$BN$11,$A588,$E588+1)</f>
        <v>1701654643</v>
      </c>
      <c r="G588" s="7">
        <f>IF($B588&lt;16,_xlfn.BITOR(_xlfn.BITAND($K587,$L587),_xlfn.BITAND(4294967295-$K587,$M587)),IF($B588&lt;32,_xlfn.BITOR(_xlfn.BITAND($M587,$K587),_xlfn.BITAND(4294967295-$M587,$L587)),IF($B588&lt;48,_xlfn.BITXOR(_xlfn.BITXOR($K587,$L587),$M587),_xlfn.BITXOR($L587,_xlfn.BITOR($K587,4294967295-$M587)))))</f>
        <v>2562383102</v>
      </c>
      <c r="H588" s="7">
        <f>MOD($G588+$J587+$C588+$F588,4294967296)</f>
        <v>1020777706</v>
      </c>
      <c r="I588" s="7">
        <f>MOD($H588,2^(32-$D588))*2^$D588+INT($H588/2^(32-$D588))</f>
        <v>1810527518</v>
      </c>
      <c r="J588" s="7">
        <f>$M587</f>
        <v>271733878</v>
      </c>
      <c r="K588" s="7">
        <f>MOD($K587+$I588,4294967296)</f>
        <v>1538793639</v>
      </c>
      <c r="L588" s="7">
        <f>$K587</f>
        <v>4023233417</v>
      </c>
      <c r="M588" s="7">
        <f>$L587</f>
        <v>2562383102</v>
      </c>
    </row>
    <row r="589" spans="1:13">
      <c r="A589" s="7">
        <v>10</v>
      </c>
      <c r="B589" s="7">
        <v>1</v>
      </c>
      <c r="C589" s="7">
        <f>INDEX(Sheet2!$B$2:$B$65,$B589+1)</f>
        <v>3905402710</v>
      </c>
      <c r="D589" s="7">
        <f>INDEX(Sheet2!$C$2:$C$65,$B589+1)</f>
        <v>12</v>
      </c>
      <c r="E589" s="7">
        <f>INDEX(Sheet2!$D$2:$D$65,$B589+1)</f>
        <v>1</v>
      </c>
      <c r="F589" s="7">
        <f>INDEX(Sheet3!$AY$2:$BN$11,$A589,$E589+1)</f>
        <v>862876511</v>
      </c>
      <c r="G589" s="7">
        <f>IF($B589&lt;16,_xlfn.BITOR(_xlfn.BITAND($K588,$L588),_xlfn.BITAND(4294967295-$K588,$M588)),IF($B589&lt;32,_xlfn.BITOR(_xlfn.BITAND($M588,$K588),_xlfn.BITAND(4294967295-$M588,$L588)),IF($B589&lt;48,_xlfn.BITXOR(_xlfn.BITXOR($K588,$L588),$M588),_xlfn.BITXOR($L588,_xlfn.BITOR($K588,4294967295-$M588)))))</f>
        <v>3414883545</v>
      </c>
      <c r="H589" s="7">
        <f>MOD($G589+$J588+$C589+$F589,4294967296)</f>
        <v>4159929348</v>
      </c>
      <c r="I589" s="7">
        <f>MOD($H589,2^(32-$D589))*2^$D589+INT($H589/2^(32-$D589))</f>
        <v>935350143</v>
      </c>
      <c r="J589" s="7">
        <f>$M588</f>
        <v>2562383102</v>
      </c>
      <c r="K589" s="7">
        <f>MOD($K588+$I589,4294967296)</f>
        <v>2474143782</v>
      </c>
      <c r="L589" s="7">
        <f>$K588</f>
        <v>1538793639</v>
      </c>
      <c r="M589" s="7">
        <f>$L588</f>
        <v>4023233417</v>
      </c>
    </row>
    <row r="590" spans="1:13">
      <c r="A590" s="7">
        <v>10</v>
      </c>
      <c r="B590" s="7">
        <v>2</v>
      </c>
      <c r="C590" s="7">
        <f>INDEX(Sheet2!$B$2:$B$65,$B590+1)</f>
        <v>606105819</v>
      </c>
      <c r="D590" s="7">
        <f>INDEX(Sheet2!$C$2:$C$65,$B590+1)</f>
        <v>17</v>
      </c>
      <c r="E590" s="7">
        <f>INDEX(Sheet2!$D$2:$D$65,$B590+1)</f>
        <v>2</v>
      </c>
      <c r="F590" s="7">
        <f>INDEX(Sheet3!$AY$2:$BN$11,$A590,$E590+1)</f>
        <v>1601792820</v>
      </c>
      <c r="G590" s="7">
        <f>IF($B590&lt;16,_xlfn.BITOR(_xlfn.BITAND($K589,$L589),_xlfn.BITAND(4294967295-$K589,$M589)),IF($B590&lt;32,_xlfn.BITOR(_xlfn.BITAND($M589,$K589),_xlfn.BITAND(4294967295-$M589,$L589)),IF($B590&lt;48,_xlfn.BITXOR(_xlfn.BITXOR($K589,$L589),$M589),_xlfn.BITXOR($L589,_xlfn.BITOR($K589,4294967295-$M589)))))</f>
        <v>2143136687</v>
      </c>
      <c r="H590" s="7">
        <f>MOD($G590+$J589+$C590+$F590,4294967296)</f>
        <v>2618451132</v>
      </c>
      <c r="I590" s="7">
        <f>MOD($H590,2^(32-$D590))*2^$D590+INT($H590/2^(32-$D590))</f>
        <v>3380164644</v>
      </c>
      <c r="J590" s="7">
        <f>$M589</f>
        <v>4023233417</v>
      </c>
      <c r="K590" s="7">
        <f>MOD($K589+$I590,4294967296)</f>
        <v>1559341130</v>
      </c>
      <c r="L590" s="7">
        <f>$K589</f>
        <v>2474143782</v>
      </c>
      <c r="M590" s="7">
        <f>$L589</f>
        <v>1538793639</v>
      </c>
    </row>
    <row r="591" spans="1:13">
      <c r="A591" s="7">
        <v>10</v>
      </c>
      <c r="B591" s="7">
        <v>3</v>
      </c>
      <c r="C591" s="7">
        <f>INDEX(Sheet2!$B$2:$B$65,$B591+1)</f>
        <v>3250441966</v>
      </c>
      <c r="D591" s="7">
        <f>INDEX(Sheet2!$C$2:$C$65,$B591+1)</f>
        <v>22</v>
      </c>
      <c r="E591" s="7">
        <f>INDEX(Sheet2!$D$2:$D$65,$B591+1)</f>
        <v>3</v>
      </c>
      <c r="F591" s="7">
        <f>INDEX(Sheet3!$AY$2:$BN$11,$A591,$E591+1)</f>
        <v>1953248371</v>
      </c>
      <c r="G591" s="7">
        <f>IF($B591&lt;16,_xlfn.BITOR(_xlfn.BITAND($K590,$L590),_xlfn.BITAND(4294967295-$K590,$M590)),IF($B591&lt;32,_xlfn.BITOR(_xlfn.BITAND($M590,$K590),_xlfn.BITAND(4294967295-$M590,$L590)),IF($B591&lt;48,_xlfn.BITXOR(_xlfn.BITXOR($K590,$L590),$M590),_xlfn.BITXOR($L590,_xlfn.BITOR($K590,4294967295-$M590)))))</f>
        <v>326639783</v>
      </c>
      <c r="H591" s="7">
        <f>MOD($G591+$J590+$C591+$F591,4294967296)</f>
        <v>963628945</v>
      </c>
      <c r="I591" s="7">
        <f>MOD($H591,2^(32-$D591))*2^$D591+INT($H591/2^(32-$D591))</f>
        <v>3830340595</v>
      </c>
      <c r="J591" s="7">
        <f>$M590</f>
        <v>1538793639</v>
      </c>
      <c r="K591" s="7">
        <f>MOD($K590+$I591,4294967296)</f>
        <v>1094714429</v>
      </c>
      <c r="L591" s="7">
        <f>$K590</f>
        <v>1559341130</v>
      </c>
      <c r="M591" s="7">
        <f>$L590</f>
        <v>2474143782</v>
      </c>
    </row>
    <row r="592" spans="1:13">
      <c r="A592" s="7">
        <v>10</v>
      </c>
      <c r="B592" s="7">
        <v>4</v>
      </c>
      <c r="C592" s="7">
        <f>INDEX(Sheet2!$B$2:$B$65,$B592+1)</f>
        <v>4118548399</v>
      </c>
      <c r="D592" s="7">
        <f>INDEX(Sheet2!$C$2:$C$65,$B592+1)</f>
        <v>7</v>
      </c>
      <c r="E592" s="7">
        <f>INDEX(Sheet2!$D$2:$D$65,$B592+1)</f>
        <v>4</v>
      </c>
      <c r="F592" s="7">
        <f>INDEX(Sheet3!$AY$2:$BN$11,$A592,$E592+1)</f>
        <v>2151628607</v>
      </c>
      <c r="G592" s="7">
        <f>IF($B592&lt;16,_xlfn.BITOR(_xlfn.BITAND($K591,$L591),_xlfn.BITAND(4294967295-$K591,$M591)),IF($B592&lt;32,_xlfn.BITOR(_xlfn.BITAND($M591,$K591),_xlfn.BITAND(4294967295-$M591,$L591)),IF($B592&lt;48,_xlfn.BITXOR(_xlfn.BITXOR($K591,$L591),$M591),_xlfn.BITXOR($L591,_xlfn.BITOR($K591,4294967295-$M591)))))</f>
        <v>3531108362</v>
      </c>
      <c r="H592" s="7">
        <f>MOD($G592+$J591+$C592+$F592,4294967296)</f>
        <v>2750144415</v>
      </c>
      <c r="I592" s="7">
        <f>MOD($H592,2^(32-$D592))*2^$D592+INT($H592/2^(32-$D592))</f>
        <v>4126134225</v>
      </c>
      <c r="J592" s="7">
        <f>$M591</f>
        <v>2474143782</v>
      </c>
      <c r="K592" s="7">
        <f>MOD($K591+$I592,4294967296)</f>
        <v>925881358</v>
      </c>
      <c r="L592" s="7">
        <f>$K591</f>
        <v>1094714429</v>
      </c>
      <c r="M592" s="7">
        <f>$L591</f>
        <v>1559341130</v>
      </c>
    </row>
    <row r="593" spans="1:13">
      <c r="A593" s="7">
        <v>10</v>
      </c>
      <c r="B593" s="7">
        <v>5</v>
      </c>
      <c r="C593" s="7">
        <f>INDEX(Sheet2!$B$2:$B$65,$B593+1)</f>
        <v>1200080426</v>
      </c>
      <c r="D593" s="7">
        <f>INDEX(Sheet2!$C$2:$C$65,$B593+1)</f>
        <v>12</v>
      </c>
      <c r="E593" s="7">
        <f>INDEX(Sheet2!$D$2:$D$65,$B593+1)</f>
        <v>5</v>
      </c>
      <c r="F593" s="7">
        <f>INDEX(Sheet3!$AY$2:$BN$11,$A593,$E593+1)</f>
        <v>0</v>
      </c>
      <c r="G593" s="7">
        <f>IF($B593&lt;16,_xlfn.BITOR(_xlfn.BITAND($K592,$L592),_xlfn.BITAND(4294967295-$K592,$M592)),IF($B593&lt;32,_xlfn.BITOR(_xlfn.BITAND($M592,$K592),_xlfn.BITAND(4294967295-$M592,$L592)),IF($B593&lt;48,_xlfn.BITXOR(_xlfn.BITXOR($K592,$L592),$M592),_xlfn.BITXOR($L592,_xlfn.BITOR($K592,4294967295-$M592)))))</f>
        <v>1238379596</v>
      </c>
      <c r="H593" s="7">
        <f>MOD($G593+$J592+$C593+$F593,4294967296)</f>
        <v>617636508</v>
      </c>
      <c r="I593" s="7">
        <f>MOD($H593,2^(32-$D593))*2^$D593+INT($H593/2^(32-$D593))</f>
        <v>103400013</v>
      </c>
      <c r="J593" s="7">
        <f>$M592</f>
        <v>1559341130</v>
      </c>
      <c r="K593" s="7">
        <f>MOD($K592+$I593,4294967296)</f>
        <v>1029281371</v>
      </c>
      <c r="L593" s="7">
        <f>$K592</f>
        <v>925881358</v>
      </c>
      <c r="M593" s="7">
        <f>$L592</f>
        <v>1094714429</v>
      </c>
    </row>
    <row r="594" spans="1:13">
      <c r="A594" s="7">
        <v>10</v>
      </c>
      <c r="B594" s="7">
        <v>6</v>
      </c>
      <c r="C594" s="7">
        <f>INDEX(Sheet2!$B$2:$B$65,$B594+1)</f>
        <v>2821735955</v>
      </c>
      <c r="D594" s="7">
        <f>INDEX(Sheet2!$C$2:$C$65,$B594+1)</f>
        <v>17</v>
      </c>
      <c r="E594" s="7">
        <f>INDEX(Sheet2!$D$2:$D$65,$B594+1)</f>
        <v>6</v>
      </c>
      <c r="F594" s="7">
        <f>INDEX(Sheet3!$AY$2:$BN$11,$A594,$E594+1)</f>
        <v>0</v>
      </c>
      <c r="G594" s="7">
        <f>IF($B594&lt;16,_xlfn.BITOR(_xlfn.BITAND($K593,$L593),_xlfn.BITAND(4294967295-$K593,$M593)),IF($B594&lt;32,_xlfn.BITOR(_xlfn.BITAND($M593,$K593),_xlfn.BITAND(4294967295-$M593,$L593)),IF($B594&lt;48,_xlfn.BITXOR(_xlfn.BITXOR($K593,$L593),$M593),_xlfn.BITXOR($L593,_xlfn.BITOR($K593,4294967295-$M593)))))</f>
        <v>1963562030</v>
      </c>
      <c r="H594" s="7">
        <f>MOD($G594+$J593+$C594+$F594,4294967296)</f>
        <v>2049671819</v>
      </c>
      <c r="I594" s="7">
        <f>MOD($H594,2^(32-$D594))*2^$D594+INT($H594/2^(32-$D594))</f>
        <v>85390423</v>
      </c>
      <c r="J594" s="7">
        <f>$M593</f>
        <v>1094714429</v>
      </c>
      <c r="K594" s="7">
        <f>MOD($K593+$I594,4294967296)</f>
        <v>1114671794</v>
      </c>
      <c r="L594" s="7">
        <f>$K593</f>
        <v>1029281371</v>
      </c>
      <c r="M594" s="7">
        <f>$L593</f>
        <v>925881358</v>
      </c>
    </row>
    <row r="595" spans="1:13">
      <c r="A595" s="7">
        <v>10</v>
      </c>
      <c r="B595" s="7">
        <v>7</v>
      </c>
      <c r="C595" s="7">
        <f>INDEX(Sheet2!$B$2:$B$65,$B595+1)</f>
        <v>4249261313</v>
      </c>
      <c r="D595" s="7">
        <f>INDEX(Sheet2!$C$2:$C$65,$B595+1)</f>
        <v>22</v>
      </c>
      <c r="E595" s="7">
        <f>INDEX(Sheet2!$D$2:$D$65,$B595+1)</f>
        <v>7</v>
      </c>
      <c r="F595" s="7">
        <f>INDEX(Sheet3!$AY$2:$BN$11,$A595,$E595+1)</f>
        <v>0</v>
      </c>
      <c r="G595" s="7">
        <f>IF($B595&lt;16,_xlfn.BITOR(_xlfn.BITAND($K594,$L594),_xlfn.BITAND(4294967295-$K594,$M594)),IF($B595&lt;32,_xlfn.BITOR(_xlfn.BITAND($M594,$K594),_xlfn.BITAND(4294967295-$M594,$L594)),IF($B595&lt;48,_xlfn.BITXOR(_xlfn.BITXOR($K594,$L594),$M594),_xlfn.BITXOR($L594,_xlfn.BITOR($K594,4294967295-$M594)))))</f>
        <v>895473182</v>
      </c>
      <c r="H595" s="7">
        <f>MOD($G595+$J594+$C595+$F595,4294967296)</f>
        <v>1944481628</v>
      </c>
      <c r="I595" s="7">
        <f>MOD($H595,2^(32-$D595))*2^$D595+INT($H595/2^(32-$D595))</f>
        <v>3609000347</v>
      </c>
      <c r="J595" s="7">
        <f>$M594</f>
        <v>925881358</v>
      </c>
      <c r="K595" s="7">
        <f>MOD($K594+$I595,4294967296)</f>
        <v>428704845</v>
      </c>
      <c r="L595" s="7">
        <f>$K594</f>
        <v>1114671794</v>
      </c>
      <c r="M595" s="7">
        <f>$L594</f>
        <v>1029281371</v>
      </c>
    </row>
    <row r="596" spans="1:13">
      <c r="A596" s="7">
        <v>10</v>
      </c>
      <c r="B596" s="7">
        <v>8</v>
      </c>
      <c r="C596" s="7">
        <f>INDEX(Sheet2!$B$2:$B$65,$B596+1)</f>
        <v>1770035416</v>
      </c>
      <c r="D596" s="7">
        <f>INDEX(Sheet2!$C$2:$C$65,$B596+1)</f>
        <v>7</v>
      </c>
      <c r="E596" s="7">
        <f>INDEX(Sheet2!$D$2:$D$65,$B596+1)</f>
        <v>8</v>
      </c>
      <c r="F596" s="7">
        <f>INDEX(Sheet3!$AY$2:$BN$11,$A596,$E596+1)</f>
        <v>0</v>
      </c>
      <c r="G596" s="7">
        <f>IF($B596&lt;16,_xlfn.BITOR(_xlfn.BITAND($K595,$L595),_xlfn.BITAND(4294967295-$K595,$M595)),IF($B596&lt;32,_xlfn.BITOR(_xlfn.BITAND($M595,$K595),_xlfn.BITAND(4294967295-$M595,$L595)),IF($B596&lt;48,_xlfn.BITXOR(_xlfn.BITXOR($K595,$L595),$M595),_xlfn.BITXOR($L595,_xlfn.BITOR($K595,4294967295-$M595)))))</f>
        <v>609260050</v>
      </c>
      <c r="H596" s="7">
        <f>MOD($G596+$J595+$C596+$F596,4294967296)</f>
        <v>3305176824</v>
      </c>
      <c r="I596" s="7">
        <f>MOD($H596,2^(32-$D596))*2^$D596+INT($H596/2^(32-$D596))</f>
        <v>2155838562</v>
      </c>
      <c r="J596" s="7">
        <f>$M595</f>
        <v>1029281371</v>
      </c>
      <c r="K596" s="7">
        <f>MOD($K595+$I596,4294967296)</f>
        <v>2584543407</v>
      </c>
      <c r="L596" s="7">
        <f>$K595</f>
        <v>428704845</v>
      </c>
      <c r="M596" s="7">
        <f>$L595</f>
        <v>1114671794</v>
      </c>
    </row>
    <row r="597" spans="1:13">
      <c r="A597" s="7">
        <v>10</v>
      </c>
      <c r="B597" s="7">
        <v>9</v>
      </c>
      <c r="C597" s="7">
        <f>INDEX(Sheet2!$B$2:$B$65,$B597+1)</f>
        <v>2336552879</v>
      </c>
      <c r="D597" s="7">
        <f>INDEX(Sheet2!$C$2:$C$65,$B597+1)</f>
        <v>12</v>
      </c>
      <c r="E597" s="7">
        <f>INDEX(Sheet2!$D$2:$D$65,$B597+1)</f>
        <v>9</v>
      </c>
      <c r="F597" s="7">
        <f>INDEX(Sheet3!$AY$2:$BN$11,$A597,$E597+1)</f>
        <v>0</v>
      </c>
      <c r="G597" s="7">
        <f>IF($B597&lt;16,_xlfn.BITOR(_xlfn.BITAND($K596,$L596),_xlfn.BITAND(4294967295-$K596,$M596)),IF($B597&lt;32,_xlfn.BITOR(_xlfn.BITAND($M596,$K596),_xlfn.BITAND(4294967295-$M596,$L596)),IF($B597&lt;48,_xlfn.BITXOR(_xlfn.BITXOR($K596,$L596),$M596),_xlfn.BITXOR($L596,_xlfn.BITOR($K596,4294967295-$M596)))))</f>
        <v>1484622365</v>
      </c>
      <c r="H597" s="7">
        <f>MOD($G597+$J596+$C597+$F597,4294967296)</f>
        <v>555489319</v>
      </c>
      <c r="I597" s="7">
        <f>MOD($H597,2^(32-$D597))*2^$D597+INT($H597/2^(32-$D597))</f>
        <v>3246551569</v>
      </c>
      <c r="J597" s="7">
        <f>$M596</f>
        <v>1114671794</v>
      </c>
      <c r="K597" s="7">
        <f>MOD($K596+$I597,4294967296)</f>
        <v>1536127680</v>
      </c>
      <c r="L597" s="7">
        <f>$K596</f>
        <v>2584543407</v>
      </c>
      <c r="M597" s="7">
        <f>$L596</f>
        <v>428704845</v>
      </c>
    </row>
    <row r="598" spans="1:13">
      <c r="A598" s="7">
        <v>10</v>
      </c>
      <c r="B598" s="7">
        <v>10</v>
      </c>
      <c r="C598" s="7">
        <f>INDEX(Sheet2!$B$2:$B$65,$B598+1)</f>
        <v>4294925233</v>
      </c>
      <c r="D598" s="7">
        <f>INDEX(Sheet2!$C$2:$C$65,$B598+1)</f>
        <v>17</v>
      </c>
      <c r="E598" s="7">
        <f>INDEX(Sheet2!$D$2:$D$65,$B598+1)</f>
        <v>10</v>
      </c>
      <c r="F598" s="7">
        <f>INDEX(Sheet3!$AY$2:$BN$11,$A598,$E598+1)</f>
        <v>0</v>
      </c>
      <c r="G598" s="7">
        <f>IF($B598&lt;16,_xlfn.BITOR(_xlfn.BITAND($K597,$L597),_xlfn.BITAND(4294967295-$K597,$M597)),IF($B598&lt;32,_xlfn.BITOR(_xlfn.BITAND($M597,$K597),_xlfn.BITAND(4294967295-$M597,$L597)),IF($B598&lt;48,_xlfn.BITXOR(_xlfn.BITXOR($K597,$L597),$M597),_xlfn.BITXOR($L597,_xlfn.BITOR($K597,4294967295-$M597)))))</f>
        <v>437093517</v>
      </c>
      <c r="H598" s="7">
        <f>MOD($G598+$J597+$C598+$F598,4294967296)</f>
        <v>1551723248</v>
      </c>
      <c r="I598" s="7">
        <f>MOD($H598,2^(32-$D598))*2^$D598+INT($H598/2^(32-$D598))</f>
        <v>3588274426</v>
      </c>
      <c r="J598" s="7">
        <f>$M597</f>
        <v>428704845</v>
      </c>
      <c r="K598" s="7">
        <f>MOD($K597+$I598,4294967296)</f>
        <v>829434810</v>
      </c>
      <c r="L598" s="7">
        <f>$K597</f>
        <v>1536127680</v>
      </c>
      <c r="M598" s="7">
        <f>$L597</f>
        <v>2584543407</v>
      </c>
    </row>
    <row r="599" spans="1:13">
      <c r="A599" s="7">
        <v>10</v>
      </c>
      <c r="B599" s="7">
        <v>11</v>
      </c>
      <c r="C599" s="7">
        <f>INDEX(Sheet2!$B$2:$B$65,$B599+1)</f>
        <v>2304563134</v>
      </c>
      <c r="D599" s="7">
        <f>INDEX(Sheet2!$C$2:$C$65,$B599+1)</f>
        <v>22</v>
      </c>
      <c r="E599" s="7">
        <f>INDEX(Sheet2!$D$2:$D$65,$B599+1)</f>
        <v>11</v>
      </c>
      <c r="F599" s="7">
        <f>INDEX(Sheet3!$AY$2:$BN$11,$A599,$E599+1)</f>
        <v>0</v>
      </c>
      <c r="G599" s="7">
        <f>IF($B599&lt;16,_xlfn.BITOR(_xlfn.BITAND($K598,$L598),_xlfn.BITAND(4294967295-$K598,$M598)),IF($B599&lt;32,_xlfn.BITOR(_xlfn.BITAND($M598,$K598),_xlfn.BITAND(4294967295-$M598,$L598)),IF($B599&lt;48,_xlfn.BITXOR(_xlfn.BITXOR($K598,$L598),$M598),_xlfn.BITXOR($L598,_xlfn.BITOR($K598,4294967295-$M598)))))</f>
        <v>2601329285</v>
      </c>
      <c r="H599" s="7">
        <f>MOD($G599+$J598+$C599+$F599,4294967296)</f>
        <v>1039629968</v>
      </c>
      <c r="I599" s="7">
        <f>MOD($H599,2^(32-$D599))*2^$D599+INT($H599/2^(32-$D599))</f>
        <v>2752478687</v>
      </c>
      <c r="J599" s="7">
        <f>$M598</f>
        <v>2584543407</v>
      </c>
      <c r="K599" s="7">
        <f>MOD($K598+$I599,4294967296)</f>
        <v>3581913497</v>
      </c>
      <c r="L599" s="7">
        <f>$K598</f>
        <v>829434810</v>
      </c>
      <c r="M599" s="7">
        <f>$L598</f>
        <v>1536127680</v>
      </c>
    </row>
    <row r="600" spans="1:13">
      <c r="A600" s="7">
        <v>10</v>
      </c>
      <c r="B600" s="7">
        <v>12</v>
      </c>
      <c r="C600" s="7">
        <f>INDEX(Sheet2!$B$2:$B$65,$B600+1)</f>
        <v>1804603682</v>
      </c>
      <c r="D600" s="7">
        <f>INDEX(Sheet2!$C$2:$C$65,$B600+1)</f>
        <v>7</v>
      </c>
      <c r="E600" s="7">
        <f>INDEX(Sheet2!$D$2:$D$65,$B600+1)</f>
        <v>12</v>
      </c>
      <c r="F600" s="7">
        <f>INDEX(Sheet3!$AY$2:$BN$11,$A600,$E600+1)</f>
        <v>0</v>
      </c>
      <c r="G600" s="7">
        <f>IF($B600&lt;16,_xlfn.BITOR(_xlfn.BITAND($K599,$L599),_xlfn.BITAND(4294967295-$K599,$M599)),IF($B600&lt;32,_xlfn.BITOR(_xlfn.BITAND($M599,$K599),_xlfn.BITAND(4294967295-$M599,$L599)),IF($B600&lt;48,_xlfn.BITXOR(_xlfn.BITXOR($K599,$L599),$M599),_xlfn.BITXOR($L599,_xlfn.BITOR($K599,4294967295-$M599)))))</f>
        <v>468745176</v>
      </c>
      <c r="H600" s="7">
        <f>MOD($G600+$J599+$C600+$F600,4294967296)</f>
        <v>562924969</v>
      </c>
      <c r="I600" s="7">
        <f>MOD($H600,2^(32-$D600))*2^$D600+INT($H600/2^(32-$D600))</f>
        <v>3334919312</v>
      </c>
      <c r="J600" s="7">
        <f>$M599</f>
        <v>1536127680</v>
      </c>
      <c r="K600" s="7">
        <f>MOD($K599+$I600,4294967296)</f>
        <v>2621865513</v>
      </c>
      <c r="L600" s="7">
        <f>$K599</f>
        <v>3581913497</v>
      </c>
      <c r="M600" s="7">
        <f>$L599</f>
        <v>829434810</v>
      </c>
    </row>
    <row r="601" spans="1:13">
      <c r="A601" s="7">
        <v>10</v>
      </c>
      <c r="B601" s="7">
        <v>13</v>
      </c>
      <c r="C601" s="7">
        <f>INDEX(Sheet2!$B$2:$B$65,$B601+1)</f>
        <v>4254626195</v>
      </c>
      <c r="D601" s="7">
        <f>INDEX(Sheet2!$C$2:$C$65,$B601+1)</f>
        <v>12</v>
      </c>
      <c r="E601" s="7">
        <f>INDEX(Sheet2!$D$2:$D$65,$B601+1)</f>
        <v>13</v>
      </c>
      <c r="F601" s="7">
        <f>INDEX(Sheet3!$AY$2:$BN$11,$A601,$E601+1)</f>
        <v>0</v>
      </c>
      <c r="G601" s="7">
        <f>IF($B601&lt;16,_xlfn.BITOR(_xlfn.BITAND($K600,$L600),_xlfn.BITAND(4294967295-$K600,$M600)),IF($B601&lt;32,_xlfn.BITOR(_xlfn.BITAND($M600,$K600),_xlfn.BITAND(4294967295-$M600,$L600)),IF($B601&lt;48,_xlfn.BITXOR(_xlfn.BITXOR($K600,$L600),$M600),_xlfn.BITXOR($L600,_xlfn.BITOR($K600,4294967295-$M600)))))</f>
        <v>3044419995</v>
      </c>
      <c r="H601" s="7">
        <f>MOD($G601+$J600+$C601+$F601,4294967296)</f>
        <v>245239278</v>
      </c>
      <c r="I601" s="7">
        <f>MOD($H601,2^(32-$D601))*2^$D601+INT($H601/2^(32-$D601))</f>
        <v>3772702953</v>
      </c>
      <c r="J601" s="7">
        <f>$M600</f>
        <v>829434810</v>
      </c>
      <c r="K601" s="7">
        <f>MOD($K600+$I601,4294967296)</f>
        <v>2099601170</v>
      </c>
      <c r="L601" s="7">
        <f>$K600</f>
        <v>2621865513</v>
      </c>
      <c r="M601" s="7">
        <f>$L600</f>
        <v>3581913497</v>
      </c>
    </row>
    <row r="602" spans="1:13">
      <c r="A602" s="7">
        <v>10</v>
      </c>
      <c r="B602" s="7">
        <v>14</v>
      </c>
      <c r="C602" s="7">
        <f>INDEX(Sheet2!$B$2:$B$65,$B602+1)</f>
        <v>2792965006</v>
      </c>
      <c r="D602" s="7">
        <f>INDEX(Sheet2!$C$2:$C$65,$B602+1)</f>
        <v>17</v>
      </c>
      <c r="E602" s="7">
        <f>INDEX(Sheet2!$D$2:$D$65,$B602+1)</f>
        <v>14</v>
      </c>
      <c r="F602" s="7">
        <f>INDEX(Sheet3!$AY$2:$BN$11,$A602,$E602+1)</f>
        <v>152</v>
      </c>
      <c r="G602" s="7">
        <f>IF($B602&lt;16,_xlfn.BITOR(_xlfn.BITAND($K601,$L601),_xlfn.BITAND(4294967295-$K601,$M601)),IF($B602&lt;32,_xlfn.BITOR(_xlfn.BITAND($M601,$K601),_xlfn.BITAND(4294967295-$M601,$L601)),IF($B602&lt;48,_xlfn.BITXOR(_xlfn.BITXOR($K601,$L601),$M601),_xlfn.BITXOR($L601,_xlfn.BITOR($K601,4294967295-$M601)))))</f>
        <v>2623471241</v>
      </c>
      <c r="H602" s="7">
        <f>MOD($G602+$J601+$C602+$F602,4294967296)</f>
        <v>1950903913</v>
      </c>
      <c r="I602" s="7">
        <f>MOD($H602,2^(32-$D602))*2^$D602+INT($H602/2^(32-$D602))</f>
        <v>3704809616</v>
      </c>
      <c r="J602" s="7">
        <f>$M601</f>
        <v>3581913497</v>
      </c>
      <c r="K602" s="7">
        <f>MOD($K601+$I602,4294967296)</f>
        <v>1509443490</v>
      </c>
      <c r="L602" s="7">
        <f>$K601</f>
        <v>2099601170</v>
      </c>
      <c r="M602" s="7">
        <f>$L601</f>
        <v>2621865513</v>
      </c>
    </row>
    <row r="603" spans="1:13">
      <c r="A603" s="7">
        <v>10</v>
      </c>
      <c r="B603" s="7">
        <v>15</v>
      </c>
      <c r="C603" s="7">
        <f>INDEX(Sheet2!$B$2:$B$65,$B603+1)</f>
        <v>1236535329</v>
      </c>
      <c r="D603" s="7">
        <f>INDEX(Sheet2!$C$2:$C$65,$B603+1)</f>
        <v>22</v>
      </c>
      <c r="E603" s="7">
        <f>INDEX(Sheet2!$D$2:$D$65,$B603+1)</f>
        <v>15</v>
      </c>
      <c r="F603" s="7">
        <f>INDEX(Sheet3!$AY$2:$BN$11,$A603,$E603+1)</f>
        <v>0</v>
      </c>
      <c r="G603" s="7">
        <f>IF($B603&lt;16,_xlfn.BITOR(_xlfn.BITAND($K602,$L602),_xlfn.BITAND(4294967295-$K602,$M602)),IF($B603&lt;32,_xlfn.BITOR(_xlfn.BITAND($M602,$K602),_xlfn.BITAND(4294967295-$M602,$L602)),IF($B603&lt;48,_xlfn.BITXOR(_xlfn.BITXOR($K602,$L602),$M602),_xlfn.BITXOR($L602,_xlfn.BITOR($K602,4294967295-$M602)))))</f>
        <v>3710287627</v>
      </c>
      <c r="H603" s="7">
        <f>MOD($G603+$J602+$C603+$F603,4294967296)</f>
        <v>4233769157</v>
      </c>
      <c r="I603" s="7">
        <f>MOD($H603,2^(32-$D603))*2^$D603+INT($H603/2^(32-$D603))</f>
        <v>830412428</v>
      </c>
      <c r="J603" s="7">
        <f>$M602</f>
        <v>2621865513</v>
      </c>
      <c r="K603" s="7">
        <f>MOD($K602+$I603,4294967296)</f>
        <v>2339855918</v>
      </c>
      <c r="L603" s="7">
        <f>$K602</f>
        <v>1509443490</v>
      </c>
      <c r="M603" s="7">
        <f>$L602</f>
        <v>2099601170</v>
      </c>
    </row>
    <row r="604" spans="1:13">
      <c r="A604" s="7">
        <v>10</v>
      </c>
      <c r="B604" s="7">
        <v>16</v>
      </c>
      <c r="C604" s="7">
        <f>INDEX(Sheet2!$B$2:$B$65,$B604+1)</f>
        <v>4129170786</v>
      </c>
      <c r="D604" s="7">
        <f>INDEX(Sheet2!$C$2:$C$65,$B604+1)</f>
        <v>5</v>
      </c>
      <c r="E604" s="7">
        <f>INDEX(Sheet2!$D$2:$D$65,$B604+1)</f>
        <v>1</v>
      </c>
      <c r="F604" s="7">
        <f>INDEX(Sheet3!$AY$2:$BN$11,$A604,$E604+1)</f>
        <v>862876511</v>
      </c>
      <c r="G604" s="7">
        <f>IF($B604&lt;16,_xlfn.BITOR(_xlfn.BITAND($K603,$L603),_xlfn.BITAND(4294967295-$K603,$M603)),IF($B604&lt;32,_xlfn.BITOR(_xlfn.BITAND($M603,$K603),_xlfn.BITAND(4294967295-$M603,$L603)),IF($B604&lt;48,_xlfn.BITXOR(_xlfn.BITXOR($K603,$L603),$M603),_xlfn.BITXOR($L603,_xlfn.BITOR($K603,4294967295-$M603)))))</f>
        <v>167599778</v>
      </c>
      <c r="H604" s="7">
        <f>MOD($G604+$J603+$C604+$F604,4294967296)</f>
        <v>3486545292</v>
      </c>
      <c r="I604" s="7">
        <f>MOD($H604,2^(32-$D604))*2^$D604+INT($H604/2^(32-$D604))</f>
        <v>4195266969</v>
      </c>
      <c r="J604" s="7">
        <f>$M603</f>
        <v>2099601170</v>
      </c>
      <c r="K604" s="7">
        <f>MOD($K603+$I604,4294967296)</f>
        <v>2240155591</v>
      </c>
      <c r="L604" s="7">
        <f>$K603</f>
        <v>2339855918</v>
      </c>
      <c r="M604" s="7">
        <f>$L603</f>
        <v>1509443490</v>
      </c>
    </row>
    <row r="605" spans="1:13">
      <c r="A605" s="7">
        <v>10</v>
      </c>
      <c r="B605" s="7">
        <v>17</v>
      </c>
      <c r="C605" s="7">
        <f>INDEX(Sheet2!$B$2:$B$65,$B605+1)</f>
        <v>3225465664</v>
      </c>
      <c r="D605" s="7">
        <f>INDEX(Sheet2!$C$2:$C$65,$B605+1)</f>
        <v>9</v>
      </c>
      <c r="E605" s="7">
        <f>INDEX(Sheet2!$D$2:$D$65,$B605+1)</f>
        <v>6</v>
      </c>
      <c r="F605" s="7">
        <f>INDEX(Sheet3!$AY$2:$BN$11,$A605,$E605+1)</f>
        <v>0</v>
      </c>
      <c r="G605" s="7">
        <f>IF($B605&lt;16,_xlfn.BITOR(_xlfn.BITAND($K604,$L604),_xlfn.BITAND(4294967295-$K604,$M604)),IF($B605&lt;32,_xlfn.BITOR(_xlfn.BITAND($M604,$K604),_xlfn.BITAND(4294967295-$M604,$L604)),IF($B605&lt;48,_xlfn.BITXOR(_xlfn.BITXOR($K604,$L604),$M604),_xlfn.BITXOR($L604,_xlfn.BITOR($K604,4294967295-$M604)))))</f>
        <v>2206670734</v>
      </c>
      <c r="H605" s="7">
        <f>MOD($G605+$J604+$C605+$F605,4294967296)</f>
        <v>3236770272</v>
      </c>
      <c r="I605" s="7">
        <f>MOD($H605,2^(32-$D605))*2^$D605+INT($H605/2^(32-$D605))</f>
        <v>3663970689</v>
      </c>
      <c r="J605" s="7">
        <f>$M604</f>
        <v>1509443490</v>
      </c>
      <c r="K605" s="7">
        <f>MOD($K604+$I605,4294967296)</f>
        <v>1609158984</v>
      </c>
      <c r="L605" s="7">
        <f>$K604</f>
        <v>2240155591</v>
      </c>
      <c r="M605" s="7">
        <f>$L604</f>
        <v>2339855918</v>
      </c>
    </row>
    <row r="606" spans="1:13">
      <c r="A606" s="7">
        <v>10</v>
      </c>
      <c r="B606" s="7">
        <v>18</v>
      </c>
      <c r="C606" s="7">
        <f>INDEX(Sheet2!$B$2:$B$65,$B606+1)</f>
        <v>643717713</v>
      </c>
      <c r="D606" s="7">
        <f>INDEX(Sheet2!$C$2:$C$65,$B606+1)</f>
        <v>14</v>
      </c>
      <c r="E606" s="7">
        <f>INDEX(Sheet2!$D$2:$D$65,$B606+1)</f>
        <v>11</v>
      </c>
      <c r="F606" s="7">
        <f>INDEX(Sheet3!$AY$2:$BN$11,$A606,$E606+1)</f>
        <v>0</v>
      </c>
      <c r="G606" s="7">
        <f>IF($B606&lt;16,_xlfn.BITOR(_xlfn.BITAND($K605,$L605),_xlfn.BITAND(4294967295-$K605,$M605)),IF($B606&lt;32,_xlfn.BITOR(_xlfn.BITAND($M605,$K605),_xlfn.BITAND(4294967295-$M605,$L605)),IF($B606&lt;48,_xlfn.BITXOR(_xlfn.BITXOR($K605,$L605),$M605),_xlfn.BITXOR($L605,_xlfn.BITOR($K605,4294967295-$M605)))))</f>
        <v>266424777</v>
      </c>
      <c r="H606" s="7">
        <f>MOD($G606+$J605+$C606+$F606,4294967296)</f>
        <v>2419585980</v>
      </c>
      <c r="I606" s="7">
        <f>MOD($H606,2^(32-$D606))*2^$D606+INT($H606/2^(32-$D606))</f>
        <v>4243530765</v>
      </c>
      <c r="J606" s="7">
        <f>$M605</f>
        <v>2339855918</v>
      </c>
      <c r="K606" s="7">
        <f>MOD($K605+$I606,4294967296)</f>
        <v>1557722453</v>
      </c>
      <c r="L606" s="7">
        <f>$K605</f>
        <v>1609158984</v>
      </c>
      <c r="M606" s="7">
        <f>$L605</f>
        <v>2240155591</v>
      </c>
    </row>
    <row r="607" spans="1:13">
      <c r="A607" s="7">
        <v>10</v>
      </c>
      <c r="B607" s="7">
        <v>19</v>
      </c>
      <c r="C607" s="7">
        <f>INDEX(Sheet2!$B$2:$B$65,$B607+1)</f>
        <v>3921069994</v>
      </c>
      <c r="D607" s="7">
        <f>INDEX(Sheet2!$C$2:$C$65,$B607+1)</f>
        <v>20</v>
      </c>
      <c r="E607" s="7">
        <f>INDEX(Sheet2!$D$2:$D$65,$B607+1)</f>
        <v>0</v>
      </c>
      <c r="F607" s="7">
        <f>INDEX(Sheet3!$AY$2:$BN$11,$A607,$E607+1)</f>
        <v>1701654643</v>
      </c>
      <c r="G607" s="7">
        <f>IF($B607&lt;16,_xlfn.BITOR(_xlfn.BITAND($K606,$L606),_xlfn.BITAND(4294967295-$K606,$M606)),IF($B607&lt;32,_xlfn.BITOR(_xlfn.BITAND($M606,$K606),_xlfn.BITAND(4294967295-$M606,$L606)),IF($B607&lt;48,_xlfn.BITXOR(_xlfn.BITXOR($K606,$L606),$M606),_xlfn.BITXOR($L606,_xlfn.BITOR($K606,4294967295-$M606)))))</f>
        <v>1592382797</v>
      </c>
      <c r="H607" s="7">
        <f>MOD($G607+$J606+$C607+$F607,4294967296)</f>
        <v>965028760</v>
      </c>
      <c r="I607" s="7">
        <f>MOD($H607,2^(32-$D607))*2^$D607+INT($H607/2^(32-$D607))</f>
        <v>3112409170</v>
      </c>
      <c r="J607" s="7">
        <f>$M606</f>
        <v>2240155591</v>
      </c>
      <c r="K607" s="7">
        <f>MOD($K606+$I607,4294967296)</f>
        <v>375164327</v>
      </c>
      <c r="L607" s="7">
        <f>$K606</f>
        <v>1557722453</v>
      </c>
      <c r="M607" s="7">
        <f>$L606</f>
        <v>1609158984</v>
      </c>
    </row>
    <row r="608" spans="1:13">
      <c r="A608" s="7">
        <v>10</v>
      </c>
      <c r="B608" s="7">
        <v>20</v>
      </c>
      <c r="C608" s="7">
        <f>INDEX(Sheet2!$B$2:$B$65,$B608+1)</f>
        <v>3593408605</v>
      </c>
      <c r="D608" s="7">
        <f>INDEX(Sheet2!$C$2:$C$65,$B608+1)</f>
        <v>5</v>
      </c>
      <c r="E608" s="7">
        <f>INDEX(Sheet2!$D$2:$D$65,$B608+1)</f>
        <v>5</v>
      </c>
      <c r="F608" s="7">
        <f>INDEX(Sheet3!$AY$2:$BN$11,$A608,$E608+1)</f>
        <v>0</v>
      </c>
      <c r="G608" s="7">
        <f>IF($B608&lt;16,_xlfn.BITOR(_xlfn.BITAND($K607,$L607),_xlfn.BITAND(4294967295-$K607,$M607)),IF($B608&lt;32,_xlfn.BITOR(_xlfn.BITAND($M607,$K607),_xlfn.BITAND(4294967295-$M607,$L607)),IF($B608&lt;48,_xlfn.BITXOR(_xlfn.BITXOR($K607,$L607),$M607),_xlfn.BITXOR($L607,_xlfn.BITOR($K607,4294967295-$M607)))))</f>
        <v>374908181</v>
      </c>
      <c r="H608" s="7">
        <f>MOD($G608+$J607+$C608+$F608,4294967296)</f>
        <v>1913505081</v>
      </c>
      <c r="I608" s="7">
        <f>MOD($H608,2^(32-$D608))*2^$D608+INT($H608/2^(32-$D608))</f>
        <v>1102620462</v>
      </c>
      <c r="J608" s="7">
        <f>$M607</f>
        <v>1609158984</v>
      </c>
      <c r="K608" s="7">
        <f>MOD($K607+$I608,4294967296)</f>
        <v>1477784789</v>
      </c>
      <c r="L608" s="7">
        <f>$K607</f>
        <v>375164327</v>
      </c>
      <c r="M608" s="7">
        <f>$L607</f>
        <v>1557722453</v>
      </c>
    </row>
    <row r="609" spans="1:13">
      <c r="A609" s="7">
        <v>10</v>
      </c>
      <c r="B609" s="7">
        <v>21</v>
      </c>
      <c r="C609" s="7">
        <f>INDEX(Sheet2!$B$2:$B$65,$B609+1)</f>
        <v>38016083</v>
      </c>
      <c r="D609" s="7">
        <f>INDEX(Sheet2!$C$2:$C$65,$B609+1)</f>
        <v>9</v>
      </c>
      <c r="E609" s="7">
        <f>INDEX(Sheet2!$D$2:$D$65,$B609+1)</f>
        <v>10</v>
      </c>
      <c r="F609" s="7">
        <f>INDEX(Sheet3!$AY$2:$BN$11,$A609,$E609+1)</f>
        <v>0</v>
      </c>
      <c r="G609" s="7">
        <f>IF($B609&lt;16,_xlfn.BITOR(_xlfn.BITAND($K608,$L608),_xlfn.BITAND(4294967295-$K608,$M608)),IF($B609&lt;32,_xlfn.BITOR(_xlfn.BITAND($M608,$K608),_xlfn.BITAND(4294967295-$M608,$L608)),IF($B609&lt;48,_xlfn.BITXOR(_xlfn.BITXOR($K608,$L608),$M608),_xlfn.BITXOR($L608,_xlfn.BITOR($K608,4294967295-$M608)))))</f>
        <v>1511275767</v>
      </c>
      <c r="H609" s="7">
        <f>MOD($G609+$J608+$C609+$F609,4294967296)</f>
        <v>3158450834</v>
      </c>
      <c r="I609" s="7">
        <f>MOD($H609,2^(32-$D609))*2^$D609+INT($H609/2^(32-$D609))</f>
        <v>2219124088</v>
      </c>
      <c r="J609" s="7">
        <f>$M608</f>
        <v>1557722453</v>
      </c>
      <c r="K609" s="7">
        <f>MOD($K608+$I609,4294967296)</f>
        <v>3696908877</v>
      </c>
      <c r="L609" s="7">
        <f>$K608</f>
        <v>1477784789</v>
      </c>
      <c r="M609" s="7">
        <f>$L608</f>
        <v>375164327</v>
      </c>
    </row>
    <row r="610" spans="1:13">
      <c r="A610" s="7">
        <v>10</v>
      </c>
      <c r="B610" s="7">
        <v>22</v>
      </c>
      <c r="C610" s="7">
        <f>INDEX(Sheet2!$B$2:$B$65,$B610+1)</f>
        <v>3634488961</v>
      </c>
      <c r="D610" s="7">
        <f>INDEX(Sheet2!$C$2:$C$65,$B610+1)</f>
        <v>14</v>
      </c>
      <c r="E610" s="7">
        <f>INDEX(Sheet2!$D$2:$D$65,$B610+1)</f>
        <v>15</v>
      </c>
      <c r="F610" s="7">
        <f>INDEX(Sheet3!$AY$2:$BN$11,$A610,$E610+1)</f>
        <v>0</v>
      </c>
      <c r="G610" s="7">
        <f>IF($B610&lt;16,_xlfn.BITOR(_xlfn.BITAND($K609,$L609),_xlfn.BITAND(4294967295-$K609,$M609)),IF($B610&lt;32,_xlfn.BITOR(_xlfn.BITAND($M609,$K609),_xlfn.BITAND(4294967295-$M609,$L609)),IF($B610&lt;48,_xlfn.BITXOR(_xlfn.BITXOR($K609,$L609),$M609),_xlfn.BITXOR($L609,_xlfn.BITOR($K609,4294967295-$M609)))))</f>
        <v>1549350997</v>
      </c>
      <c r="H610" s="7">
        <f>MOD($G610+$J609+$C610+$F610,4294967296)</f>
        <v>2446595115</v>
      </c>
      <c r="I610" s="7">
        <f>MOD($H610,2^(32-$D610))*2^$D610+INT($H610/2^(32-$D610))</f>
        <v>84599925</v>
      </c>
      <c r="J610" s="7">
        <f>$M609</f>
        <v>375164327</v>
      </c>
      <c r="K610" s="7">
        <f>MOD($K609+$I610,4294967296)</f>
        <v>3781508802</v>
      </c>
      <c r="L610" s="7">
        <f>$K609</f>
        <v>3696908877</v>
      </c>
      <c r="M610" s="7">
        <f>$L609</f>
        <v>1477784789</v>
      </c>
    </row>
    <row r="611" spans="1:13">
      <c r="A611" s="7">
        <v>10</v>
      </c>
      <c r="B611" s="7">
        <v>23</v>
      </c>
      <c r="C611" s="7">
        <f>INDEX(Sheet2!$B$2:$B$65,$B611+1)</f>
        <v>3889429448</v>
      </c>
      <c r="D611" s="7">
        <f>INDEX(Sheet2!$C$2:$C$65,$B611+1)</f>
        <v>20</v>
      </c>
      <c r="E611" s="7">
        <f>INDEX(Sheet2!$D$2:$D$65,$B611+1)</f>
        <v>4</v>
      </c>
      <c r="F611" s="7">
        <f>INDEX(Sheet3!$AY$2:$BN$11,$A611,$E611+1)</f>
        <v>2151628607</v>
      </c>
      <c r="G611" s="7">
        <f>IF($B611&lt;16,_xlfn.BITOR(_xlfn.BITAND($K610,$L610),_xlfn.BITAND(4294967295-$K610,$M610)),IF($B611&lt;32,_xlfn.BITOR(_xlfn.BITAND($M610,$K610),_xlfn.BITAND(4294967295-$M610,$L610)),IF($B611&lt;48,_xlfn.BITXOR(_xlfn.BITXOR($K610,$L610),$M610),_xlfn.BITXOR($L610,_xlfn.BITOR($K610,4294967295-$M610)))))</f>
        <v>3293544136</v>
      </c>
      <c r="H611" s="7">
        <f>MOD($G611+$J610+$C611+$F611,4294967296)</f>
        <v>1119831926</v>
      </c>
      <c r="I611" s="7">
        <f>MOD($H611,2^(32-$D611))*2^$D611+INT($H611/2^(32-$D611))</f>
        <v>2003053556</v>
      </c>
      <c r="J611" s="7">
        <f>$M610</f>
        <v>1477784789</v>
      </c>
      <c r="K611" s="7">
        <f>MOD($K610+$I611,4294967296)</f>
        <v>1489595062</v>
      </c>
      <c r="L611" s="7">
        <f>$K610</f>
        <v>3781508802</v>
      </c>
      <c r="M611" s="7">
        <f>$L610</f>
        <v>3696908877</v>
      </c>
    </row>
    <row r="612" spans="1:13">
      <c r="A612" s="7">
        <v>10</v>
      </c>
      <c r="B612" s="7">
        <v>24</v>
      </c>
      <c r="C612" s="7">
        <f>INDEX(Sheet2!$B$2:$B$65,$B612+1)</f>
        <v>568446438</v>
      </c>
      <c r="D612" s="7">
        <f>INDEX(Sheet2!$C$2:$C$65,$B612+1)</f>
        <v>5</v>
      </c>
      <c r="E612" s="7">
        <f>INDEX(Sheet2!$D$2:$D$65,$B612+1)</f>
        <v>9</v>
      </c>
      <c r="F612" s="7">
        <f>INDEX(Sheet3!$AY$2:$BN$11,$A612,$E612+1)</f>
        <v>0</v>
      </c>
      <c r="G612" s="7">
        <f>IF($B612&lt;16,_xlfn.BITOR(_xlfn.BITAND($K611,$L611),_xlfn.BITAND(4294967295-$K611,$M611)),IF($B612&lt;32,_xlfn.BITOR(_xlfn.BITAND($M611,$K611),_xlfn.BITAND(4294967295-$M611,$L611)),IF($B612&lt;48,_xlfn.BITXOR(_xlfn.BITXOR($K611,$L611),$M611),_xlfn.BITXOR($L611,_xlfn.BITOR($K611,4294967295-$M611)))))</f>
        <v>2037214854</v>
      </c>
      <c r="H612" s="7">
        <f>MOD($G612+$J611+$C612+$F612,4294967296)</f>
        <v>4083446081</v>
      </c>
      <c r="I612" s="7">
        <f>MOD($H612,2^(32-$D612))*2^$D612+INT($H612/2^(32-$D612))</f>
        <v>1821255742</v>
      </c>
      <c r="J612" s="7">
        <f>$M611</f>
        <v>3696908877</v>
      </c>
      <c r="K612" s="7">
        <f>MOD($K611+$I612,4294967296)</f>
        <v>3310850804</v>
      </c>
      <c r="L612" s="7">
        <f>$K611</f>
        <v>1489595062</v>
      </c>
      <c r="M612" s="7">
        <f>$L611</f>
        <v>3781508802</v>
      </c>
    </row>
    <row r="613" spans="1:13">
      <c r="A613" s="7">
        <v>10</v>
      </c>
      <c r="B613" s="7">
        <v>25</v>
      </c>
      <c r="C613" s="7">
        <f>INDEX(Sheet2!$B$2:$B$65,$B613+1)</f>
        <v>3275163606</v>
      </c>
      <c r="D613" s="7">
        <f>INDEX(Sheet2!$C$2:$C$65,$B613+1)</f>
        <v>9</v>
      </c>
      <c r="E613" s="7">
        <f>INDEX(Sheet2!$D$2:$D$65,$B613+1)</f>
        <v>14</v>
      </c>
      <c r="F613" s="7">
        <f>INDEX(Sheet3!$AY$2:$BN$11,$A613,$E613+1)</f>
        <v>152</v>
      </c>
      <c r="G613" s="7">
        <f>IF($B613&lt;16,_xlfn.BITOR(_xlfn.BITAND($K612,$L612),_xlfn.BITAND(4294967295-$K612,$M612)),IF($B613&lt;32,_xlfn.BITOR(_xlfn.BITAND($M612,$K612),_xlfn.BITAND(4294967295-$M612,$L612)),IF($B613&lt;48,_xlfn.BITXOR(_xlfn.BITXOR($K612,$L612),$M612),_xlfn.BITXOR($L612,_xlfn.BITOR($K612,4294967295-$M612)))))</f>
        <v>3654111988</v>
      </c>
      <c r="H613" s="7">
        <f>MOD($G613+$J612+$C613+$F613,4294967296)</f>
        <v>2036250031</v>
      </c>
      <c r="I613" s="7">
        <f>MOD($H613,2^(32-$D613))*2^$D613+INT($H613/2^(32-$D613))</f>
        <v>3177930482</v>
      </c>
      <c r="J613" s="7">
        <f>$M612</f>
        <v>3781508802</v>
      </c>
      <c r="K613" s="7">
        <f>MOD($K612+$I613,4294967296)</f>
        <v>2193813990</v>
      </c>
      <c r="L613" s="7">
        <f>$K612</f>
        <v>3310850804</v>
      </c>
      <c r="M613" s="7">
        <f>$L612</f>
        <v>1489595062</v>
      </c>
    </row>
    <row r="614" spans="1:13">
      <c r="A614" s="7">
        <v>10</v>
      </c>
      <c r="B614" s="7">
        <v>26</v>
      </c>
      <c r="C614" s="7">
        <f>INDEX(Sheet2!$B$2:$B$65,$B614+1)</f>
        <v>4107603335</v>
      </c>
      <c r="D614" s="7">
        <f>INDEX(Sheet2!$C$2:$C$65,$B614+1)</f>
        <v>14</v>
      </c>
      <c r="E614" s="7">
        <f>INDEX(Sheet2!$D$2:$D$65,$B614+1)</f>
        <v>3</v>
      </c>
      <c r="F614" s="7">
        <f>INDEX(Sheet3!$AY$2:$BN$11,$A614,$E614+1)</f>
        <v>1953248371</v>
      </c>
      <c r="G614" s="7">
        <f>IF($B614&lt;16,_xlfn.BITOR(_xlfn.BITAND($K613,$L613),_xlfn.BITAND(4294967295-$K613,$M613)),IF($B614&lt;32,_xlfn.BITOR(_xlfn.BITAND($M613,$K613),_xlfn.BITAND(4294967295-$M613,$L613)),IF($B614&lt;48,_xlfn.BITXOR(_xlfn.BITXOR($K613,$L613),$M613),_xlfn.BITXOR($L613,_xlfn.BITOR($K613,4294967295-$M613)))))</f>
        <v>2245456102</v>
      </c>
      <c r="H614" s="7">
        <f>MOD($G614+$J613+$C614+$F614,4294967296)</f>
        <v>3497882018</v>
      </c>
      <c r="I614" s="7">
        <f>MOD($H614,2^(32-$D614))*2^$D614+INT($H614/2^(32-$D614))</f>
        <v>1550365727</v>
      </c>
      <c r="J614" s="7">
        <f>$M613</f>
        <v>1489595062</v>
      </c>
      <c r="K614" s="7">
        <f>MOD($K613+$I614,4294967296)</f>
        <v>3744179717</v>
      </c>
      <c r="L614" s="7">
        <f>$K613</f>
        <v>2193813990</v>
      </c>
      <c r="M614" s="7">
        <f>$L613</f>
        <v>3310850804</v>
      </c>
    </row>
    <row r="615" spans="1:13">
      <c r="A615" s="7">
        <v>10</v>
      </c>
      <c r="B615" s="7">
        <v>27</v>
      </c>
      <c r="C615" s="7">
        <f>INDEX(Sheet2!$B$2:$B$65,$B615+1)</f>
        <v>1163531501</v>
      </c>
      <c r="D615" s="7">
        <f>INDEX(Sheet2!$C$2:$C$65,$B615+1)</f>
        <v>20</v>
      </c>
      <c r="E615" s="7">
        <f>INDEX(Sheet2!$D$2:$D$65,$B615+1)</f>
        <v>8</v>
      </c>
      <c r="F615" s="7">
        <f>INDEX(Sheet3!$AY$2:$BN$11,$A615,$E615+1)</f>
        <v>0</v>
      </c>
      <c r="G615" s="7">
        <f>IF($B615&lt;16,_xlfn.BITOR(_xlfn.BITAND($K614,$L614),_xlfn.BITAND(4294967295-$K614,$M614)),IF($B615&lt;32,_xlfn.BITOR(_xlfn.BITAND($M614,$K614),_xlfn.BITAND(4294967295-$M614,$L614)),IF($B615&lt;48,_xlfn.BITXOR(_xlfn.BITXOR($K614,$L614),$M614),_xlfn.BITXOR($L614,_xlfn.BITOR($K614,4294967295-$M614)))))</f>
        <v>3347309318</v>
      </c>
      <c r="H615" s="7">
        <f>MOD($G615+$J614+$C615+$F615,4294967296)</f>
        <v>1705468585</v>
      </c>
      <c r="I615" s="7">
        <f>MOD($H615,2^(32-$D615))*2^$D615+INT($H615/2^(32-$D615))</f>
        <v>714496630</v>
      </c>
      <c r="J615" s="7">
        <f>$M614</f>
        <v>3310850804</v>
      </c>
      <c r="K615" s="7">
        <f>MOD($K614+$I615,4294967296)</f>
        <v>163709051</v>
      </c>
      <c r="L615" s="7">
        <f>$K614</f>
        <v>3744179717</v>
      </c>
      <c r="M615" s="7">
        <f>$L614</f>
        <v>2193813990</v>
      </c>
    </row>
    <row r="616" spans="1:13">
      <c r="A616" s="7">
        <v>10</v>
      </c>
      <c r="B616" s="7">
        <v>28</v>
      </c>
      <c r="C616" s="7">
        <f>INDEX(Sheet2!$B$2:$B$65,$B616+1)</f>
        <v>2850285829</v>
      </c>
      <c r="D616" s="7">
        <f>INDEX(Sheet2!$C$2:$C$65,$B616+1)</f>
        <v>5</v>
      </c>
      <c r="E616" s="7">
        <f>INDEX(Sheet2!$D$2:$D$65,$B616+1)</f>
        <v>13</v>
      </c>
      <c r="F616" s="7">
        <f>INDEX(Sheet3!$AY$2:$BN$11,$A616,$E616+1)</f>
        <v>0</v>
      </c>
      <c r="G616" s="7">
        <f>IF($B616&lt;16,_xlfn.BITOR(_xlfn.BITAND($K615,$L615),_xlfn.BITAND(4294967295-$K615,$M615)),IF($B616&lt;32,_xlfn.BITOR(_xlfn.BITAND($M615,$K615),_xlfn.BITAND(4294967295-$M615,$L615)),IF($B616&lt;48,_xlfn.BITXOR(_xlfn.BITXOR($K615,$L615),$M615),_xlfn.BITXOR($L615,_xlfn.BITOR($K615,4294967295-$M615)))))</f>
        <v>1575683683</v>
      </c>
      <c r="H616" s="7">
        <f>MOD($G616+$J615+$C616+$F616,4294967296)</f>
        <v>3441853020</v>
      </c>
      <c r="I616" s="7">
        <f>MOD($H616,2^(32-$D616))*2^$D616+INT($H616/2^(32-$D616))</f>
        <v>2765114265</v>
      </c>
      <c r="J616" s="7">
        <f>$M615</f>
        <v>2193813990</v>
      </c>
      <c r="K616" s="7">
        <f>MOD($K615+$I616,4294967296)</f>
        <v>2928823316</v>
      </c>
      <c r="L616" s="7">
        <f>$K615</f>
        <v>163709051</v>
      </c>
      <c r="M616" s="7">
        <f>$L615</f>
        <v>3744179717</v>
      </c>
    </row>
    <row r="617" spans="1:13">
      <c r="A617" s="7">
        <v>10</v>
      </c>
      <c r="B617" s="7">
        <v>29</v>
      </c>
      <c r="C617" s="7">
        <f>INDEX(Sheet2!$B$2:$B$65,$B617+1)</f>
        <v>4243563512</v>
      </c>
      <c r="D617" s="7">
        <f>INDEX(Sheet2!$C$2:$C$65,$B617+1)</f>
        <v>9</v>
      </c>
      <c r="E617" s="7">
        <f>INDEX(Sheet2!$D$2:$D$65,$B617+1)</f>
        <v>2</v>
      </c>
      <c r="F617" s="7">
        <f>INDEX(Sheet3!$AY$2:$BN$11,$A617,$E617+1)</f>
        <v>1601792820</v>
      </c>
      <c r="G617" s="7">
        <f>IF($B617&lt;16,_xlfn.BITOR(_xlfn.BITAND($K616,$L616),_xlfn.BITAND(4294967295-$K616,$M616)),IF($B617&lt;32,_xlfn.BITOR(_xlfn.BITAND($M616,$K616),_xlfn.BITAND(4294967295-$M616,$L616)),IF($B617&lt;48,_xlfn.BITXOR(_xlfn.BITXOR($K616,$L616),$M616),_xlfn.BITXOR($L616,_xlfn.BITOR($K616,4294967295-$M616)))))</f>
        <v>2395079806</v>
      </c>
      <c r="H617" s="7">
        <f>MOD($G617+$J616+$C617+$F617,4294967296)</f>
        <v>1844315536</v>
      </c>
      <c r="I617" s="7">
        <f>MOD($H617,2^(32-$D617))*2^$D617+INT($H617/2^(32-$D617))</f>
        <v>3691716827</v>
      </c>
      <c r="J617" s="7">
        <f>$M616</f>
        <v>3744179717</v>
      </c>
      <c r="K617" s="7">
        <f>MOD($K616+$I617,4294967296)</f>
        <v>2325572847</v>
      </c>
      <c r="L617" s="7">
        <f>$K616</f>
        <v>2928823316</v>
      </c>
      <c r="M617" s="7">
        <f>$L616</f>
        <v>163709051</v>
      </c>
    </row>
    <row r="618" spans="1:13">
      <c r="A618" s="7">
        <v>10</v>
      </c>
      <c r="B618" s="7">
        <v>30</v>
      </c>
      <c r="C618" s="7">
        <f>INDEX(Sheet2!$B$2:$B$65,$B618+1)</f>
        <v>1735328473</v>
      </c>
      <c r="D618" s="7">
        <f>INDEX(Sheet2!$C$2:$C$65,$B618+1)</f>
        <v>14</v>
      </c>
      <c r="E618" s="7">
        <f>INDEX(Sheet2!$D$2:$D$65,$B618+1)</f>
        <v>7</v>
      </c>
      <c r="F618" s="7">
        <f>INDEX(Sheet3!$AY$2:$BN$11,$A618,$E618+1)</f>
        <v>0</v>
      </c>
      <c r="G618" s="7">
        <f>IF($B618&lt;16,_xlfn.BITOR(_xlfn.BITAND($K617,$L617),_xlfn.BITAND(4294967295-$K617,$M617)),IF($B618&lt;32,_xlfn.BITOR(_xlfn.BITAND($M617,$K617),_xlfn.BITAND(4294967295-$M617,$L617)),IF($B618&lt;48,_xlfn.BITXOR(_xlfn.BITXOR($K617,$L617),$M617),_xlfn.BITXOR($L617,_xlfn.BITOR($K617,4294967295-$M617)))))</f>
        <v>2928692335</v>
      </c>
      <c r="H618" s="7">
        <f>MOD($G618+$J617+$C618+$F618,4294967296)</f>
        <v>4113233229</v>
      </c>
      <c r="I618" s="7">
        <f>MOD($H618,2^(32-$D618))*2^$D618+INT($H618/2^(32-$D618))</f>
        <v>3176365386</v>
      </c>
      <c r="J618" s="7">
        <f>$M617</f>
        <v>163709051</v>
      </c>
      <c r="K618" s="7">
        <f>MOD($K617+$I618,4294967296)</f>
        <v>1206970937</v>
      </c>
      <c r="L618" s="7">
        <f>$K617</f>
        <v>2325572847</v>
      </c>
      <c r="M618" s="7">
        <f>$L617</f>
        <v>2928823316</v>
      </c>
    </row>
    <row r="619" spans="1:13">
      <c r="A619" s="7">
        <v>10</v>
      </c>
      <c r="B619" s="7">
        <v>31</v>
      </c>
      <c r="C619" s="7">
        <f>INDEX(Sheet2!$B$2:$B$65,$B619+1)</f>
        <v>2368359562</v>
      </c>
      <c r="D619" s="7">
        <f>INDEX(Sheet2!$C$2:$C$65,$B619+1)</f>
        <v>20</v>
      </c>
      <c r="E619" s="7">
        <f>INDEX(Sheet2!$D$2:$D$65,$B619+1)</f>
        <v>12</v>
      </c>
      <c r="F619" s="7">
        <f>INDEX(Sheet3!$AY$2:$BN$11,$A619,$E619+1)</f>
        <v>0</v>
      </c>
      <c r="G619" s="7">
        <f>IF($B619&lt;16,_xlfn.BITOR(_xlfn.BITAND($K618,$L618),_xlfn.BITAND(4294967295-$K618,$M618)),IF($B619&lt;32,_xlfn.BITOR(_xlfn.BITAND($M618,$K618),_xlfn.BITAND(4294967295-$M618,$L618)),IF($B619&lt;48,_xlfn.BITXOR(_xlfn.BITXOR($K618,$L618),$M618),_xlfn.BITXOR($L618,_xlfn.BITOR($K618,4294967295-$M618)))))</f>
        <v>110979323</v>
      </c>
      <c r="H619" s="7">
        <f>MOD($G619+$J618+$C619+$F619,4294967296)</f>
        <v>2643047936</v>
      </c>
      <c r="I619" s="7">
        <f>MOD($H619,2^(32-$D619))*2^$D619+INT($H619/2^(32-$D619))</f>
        <v>1611258011</v>
      </c>
      <c r="J619" s="7">
        <f>$M618</f>
        <v>2928823316</v>
      </c>
      <c r="K619" s="7">
        <f>MOD($K618+$I619,4294967296)</f>
        <v>2818228948</v>
      </c>
      <c r="L619" s="7">
        <f>$K618</f>
        <v>1206970937</v>
      </c>
      <c r="M619" s="7">
        <f>$L618</f>
        <v>2325572847</v>
      </c>
    </row>
    <row r="620" spans="1:13">
      <c r="A620" s="7">
        <v>10</v>
      </c>
      <c r="B620" s="7">
        <v>32</v>
      </c>
      <c r="C620" s="7">
        <f>INDEX(Sheet2!$B$2:$B$65,$B620+1)</f>
        <v>4294588738</v>
      </c>
      <c r="D620" s="7">
        <f>INDEX(Sheet2!$C$2:$C$65,$B620+1)</f>
        <v>4</v>
      </c>
      <c r="E620" s="7">
        <f>INDEX(Sheet2!$D$2:$D$65,$B620+1)</f>
        <v>5</v>
      </c>
      <c r="F620" s="7">
        <f>INDEX(Sheet3!$AY$2:$BN$11,$A620,$E620+1)</f>
        <v>0</v>
      </c>
      <c r="G620" s="7">
        <f>IF($B620&lt;16,_xlfn.BITOR(_xlfn.BITAND($K619,$L619),_xlfn.BITAND(4294967295-$K619,$M619)),IF($B620&lt;32,_xlfn.BITOR(_xlfn.BITAND($M619,$K619),_xlfn.BITAND(4294967295-$M619,$L619)),IF($B620&lt;48,_xlfn.BITXOR(_xlfn.BITXOR($K619,$L619),$M619),_xlfn.BITXOR($L619,_xlfn.BITOR($K619,4294967295-$M619)))))</f>
        <v>1788298242</v>
      </c>
      <c r="H620" s="7">
        <f>MOD($G620+$J619+$C620+$F620,4294967296)</f>
        <v>421775704</v>
      </c>
      <c r="I620" s="7">
        <f>MOD($H620,2^(32-$D620))*2^$D620+INT($H620/2^(32-$D620))</f>
        <v>2453443969</v>
      </c>
      <c r="J620" s="7">
        <f>$M619</f>
        <v>2325572847</v>
      </c>
      <c r="K620" s="7">
        <f>MOD($K619+$I620,4294967296)</f>
        <v>976705621</v>
      </c>
      <c r="L620" s="7">
        <f>$K619</f>
        <v>2818228948</v>
      </c>
      <c r="M620" s="7">
        <f>$L619</f>
        <v>1206970937</v>
      </c>
    </row>
    <row r="621" spans="1:13">
      <c r="A621" s="7">
        <v>10</v>
      </c>
      <c r="B621" s="7">
        <v>33</v>
      </c>
      <c r="C621" s="7">
        <f>INDEX(Sheet2!$B$2:$B$65,$B621+1)</f>
        <v>2272392833</v>
      </c>
      <c r="D621" s="7">
        <f>INDEX(Sheet2!$C$2:$C$65,$B621+1)</f>
        <v>11</v>
      </c>
      <c r="E621" s="7">
        <f>INDEX(Sheet2!$D$2:$D$65,$B621+1)</f>
        <v>8</v>
      </c>
      <c r="F621" s="7">
        <f>INDEX(Sheet3!$AY$2:$BN$11,$A621,$E621+1)</f>
        <v>0</v>
      </c>
      <c r="G621" s="7">
        <f>IF($B621&lt;16,_xlfn.BITOR(_xlfn.BITAND($K620,$L620),_xlfn.BITAND(4294967295-$K620,$M620)),IF($B621&lt;32,_xlfn.BITOR(_xlfn.BITAND($M620,$K620),_xlfn.BITAND(4294967295-$M620,$L620)),IF($B621&lt;48,_xlfn.BITXOR(_xlfn.BITXOR($K620,$L620),$M620),_xlfn.BITXOR($L620,_xlfn.BITOR($K620,4294967295-$M620)))))</f>
        <v>3661459640</v>
      </c>
      <c r="H621" s="7">
        <f>MOD($G621+$J620+$C621+$F621,4294967296)</f>
        <v>3964458024</v>
      </c>
      <c r="I621" s="7">
        <f>MOD($H621,2^(32-$D621))*2^$D621+INT($H621/2^(32-$D621))</f>
        <v>1721845602</v>
      </c>
      <c r="J621" s="7">
        <f>$M620</f>
        <v>1206970937</v>
      </c>
      <c r="K621" s="7">
        <f>MOD($K620+$I621,4294967296)</f>
        <v>2698551223</v>
      </c>
      <c r="L621" s="7">
        <f>$K620</f>
        <v>976705621</v>
      </c>
      <c r="M621" s="7">
        <f>$L620</f>
        <v>2818228948</v>
      </c>
    </row>
    <row r="622" spans="1:13">
      <c r="A622" s="7">
        <v>10</v>
      </c>
      <c r="B622" s="7">
        <v>34</v>
      </c>
      <c r="C622" s="7">
        <f>INDEX(Sheet2!$B$2:$B$65,$B622+1)</f>
        <v>1839030562</v>
      </c>
      <c r="D622" s="7">
        <f>INDEX(Sheet2!$C$2:$C$65,$B622+1)</f>
        <v>16</v>
      </c>
      <c r="E622" s="7">
        <f>INDEX(Sheet2!$D$2:$D$65,$B622+1)</f>
        <v>11</v>
      </c>
      <c r="F622" s="7">
        <f>INDEX(Sheet3!$AY$2:$BN$11,$A622,$E622+1)</f>
        <v>0</v>
      </c>
      <c r="G622" s="7">
        <f>IF($B622&lt;16,_xlfn.BITOR(_xlfn.BITAND($K621,$L621),_xlfn.BITAND(4294967295-$K621,$M621)),IF($B622&lt;32,_xlfn.BITOR(_xlfn.BITAND($M621,$K621),_xlfn.BITAND(4294967295-$M621,$L621)),IF($B622&lt;48,_xlfn.BITXOR(_xlfn.BITXOR($K621,$L621),$M621),_xlfn.BITXOR($L621,_xlfn.BITOR($K621,4294967295-$M621)))))</f>
        <v>1024787766</v>
      </c>
      <c r="H622" s="7">
        <f>MOD($G622+$J621+$C622+$F622,4294967296)</f>
        <v>4070789265</v>
      </c>
      <c r="I622" s="7">
        <f>MOD($H622,2^(32-$D622))*2^$D622+INT($H622/2^(32-$D622))</f>
        <v>1351742115</v>
      </c>
      <c r="J622" s="7">
        <f>$M621</f>
        <v>2818228948</v>
      </c>
      <c r="K622" s="7">
        <f>MOD($K621+$I622,4294967296)</f>
        <v>4050293338</v>
      </c>
      <c r="L622" s="7">
        <f>$K621</f>
        <v>2698551223</v>
      </c>
      <c r="M622" s="7">
        <f>$L621</f>
        <v>976705621</v>
      </c>
    </row>
    <row r="623" spans="1:13">
      <c r="A623" s="7">
        <v>10</v>
      </c>
      <c r="B623" s="7">
        <v>35</v>
      </c>
      <c r="C623" s="7">
        <f>INDEX(Sheet2!$B$2:$B$65,$B623+1)</f>
        <v>4259657740</v>
      </c>
      <c r="D623" s="7">
        <f>INDEX(Sheet2!$C$2:$C$65,$B623+1)</f>
        <v>23</v>
      </c>
      <c r="E623" s="7">
        <f>INDEX(Sheet2!$D$2:$D$65,$B623+1)</f>
        <v>14</v>
      </c>
      <c r="F623" s="7">
        <f>INDEX(Sheet3!$AY$2:$BN$11,$A623,$E623+1)</f>
        <v>152</v>
      </c>
      <c r="G623" s="7">
        <f>IF($B623&lt;16,_xlfn.BITOR(_xlfn.BITAND($K622,$L622),_xlfn.BITAND(4294967295-$K622,$M622)),IF($B623&lt;32,_xlfn.BITOR(_xlfn.BITAND($M622,$K622),_xlfn.BITAND(4294967295-$M622,$L622)),IF($B623&lt;48,_xlfn.BITXOR(_xlfn.BITXOR($K622,$L622),$M622),_xlfn.BITXOR($L622,_xlfn.BITOR($K622,4294967295-$M622)))))</f>
        <v>1803900344</v>
      </c>
      <c r="H623" s="7">
        <f>MOD($G623+$J622+$C623+$F623,4294967296)</f>
        <v>291852592</v>
      </c>
      <c r="I623" s="7">
        <f>MOD($H623,2^(32-$D623))*2^$D623+INT($H623/2^(32-$D623))</f>
        <v>2550706856</v>
      </c>
      <c r="J623" s="7">
        <f>$M622</f>
        <v>976705621</v>
      </c>
      <c r="K623" s="7">
        <f>MOD($K622+$I623,4294967296)</f>
        <v>2306032898</v>
      </c>
      <c r="L623" s="7">
        <f>$K622</f>
        <v>4050293338</v>
      </c>
      <c r="M623" s="7">
        <f>$L622</f>
        <v>2698551223</v>
      </c>
    </row>
    <row r="624" spans="1:13">
      <c r="A624" s="7">
        <v>10</v>
      </c>
      <c r="B624" s="7">
        <v>36</v>
      </c>
      <c r="C624" s="7">
        <f>INDEX(Sheet2!$B$2:$B$65,$B624+1)</f>
        <v>2763975236</v>
      </c>
      <c r="D624" s="7">
        <f>INDEX(Sheet2!$C$2:$C$65,$B624+1)</f>
        <v>4</v>
      </c>
      <c r="E624" s="7">
        <f>INDEX(Sheet2!$D$2:$D$65,$B624+1)</f>
        <v>1</v>
      </c>
      <c r="F624" s="7">
        <f>INDEX(Sheet3!$AY$2:$BN$11,$A624,$E624+1)</f>
        <v>862876511</v>
      </c>
      <c r="G624" s="7">
        <f>IF($B624&lt;16,_xlfn.BITOR(_xlfn.BITAND($K623,$L623),_xlfn.BITAND(4294967295-$K623,$M623)),IF($B624&lt;32,_xlfn.BITOR(_xlfn.BITAND($M623,$K623),_xlfn.BITAND(4294967295-$M623,$L623)),IF($B624&lt;48,_xlfn.BITXOR(_xlfn.BITXOR($K623,$L623),$M623),_xlfn.BITXOR($L623,_xlfn.BITOR($K623,4294967295-$M623)))))</f>
        <v>3636545775</v>
      </c>
      <c r="H624" s="7">
        <f>MOD($G624+$J623+$C624+$F624,4294967296)</f>
        <v>3945135847</v>
      </c>
      <c r="I624" s="7">
        <f>MOD($H624,2^(32-$D624))*2^$D624+INT($H624/2^(32-$D624))</f>
        <v>2992631422</v>
      </c>
      <c r="J624" s="7">
        <f>$M623</f>
        <v>2698551223</v>
      </c>
      <c r="K624" s="7">
        <f>MOD($K623+$I624,4294967296)</f>
        <v>1003697024</v>
      </c>
      <c r="L624" s="7">
        <f>$K623</f>
        <v>2306032898</v>
      </c>
      <c r="M624" s="7">
        <f>$L623</f>
        <v>4050293338</v>
      </c>
    </row>
    <row r="625" spans="1:13">
      <c r="A625" s="7">
        <v>10</v>
      </c>
      <c r="B625" s="7">
        <v>37</v>
      </c>
      <c r="C625" s="7">
        <f>INDEX(Sheet2!$B$2:$B$65,$B625+1)</f>
        <v>1272893353</v>
      </c>
      <c r="D625" s="7">
        <f>INDEX(Sheet2!$C$2:$C$65,$B625+1)</f>
        <v>11</v>
      </c>
      <c r="E625" s="7">
        <f>INDEX(Sheet2!$D$2:$D$65,$B625+1)</f>
        <v>4</v>
      </c>
      <c r="F625" s="7">
        <f>INDEX(Sheet3!$AY$2:$BN$11,$A625,$E625+1)</f>
        <v>2151628607</v>
      </c>
      <c r="G625" s="7">
        <f>IF($B625&lt;16,_xlfn.BITOR(_xlfn.BITAND($K624,$L624),_xlfn.BITAND(4294967295-$K624,$M624)),IF($B625&lt;32,_xlfn.BITOR(_xlfn.BITAND($M624,$K624),_xlfn.BITAND(4294967295-$M624,$L624)),IF($B625&lt;48,_xlfn.BITXOR(_xlfn.BITXOR($K624,$L624),$M624),_xlfn.BITXOR($L624,_xlfn.BITOR($K624,4294967295-$M624)))))</f>
        <v>1137370328</v>
      </c>
      <c r="H625" s="7">
        <f>MOD($G625+$J624+$C625+$F625,4294967296)</f>
        <v>2965476215</v>
      </c>
      <c r="I625" s="7">
        <f>MOD($H625,2^(32-$D625))*2^$D625+INT($H625/2^(32-$D625))</f>
        <v>211533190</v>
      </c>
      <c r="J625" s="7">
        <f>$M624</f>
        <v>4050293338</v>
      </c>
      <c r="K625" s="7">
        <f>MOD($K624+$I625,4294967296)</f>
        <v>1215230214</v>
      </c>
      <c r="L625" s="7">
        <f>$K624</f>
        <v>1003697024</v>
      </c>
      <c r="M625" s="7">
        <f>$L624</f>
        <v>2306032898</v>
      </c>
    </row>
    <row r="626" spans="1:13">
      <c r="A626" s="7">
        <v>10</v>
      </c>
      <c r="B626" s="7">
        <v>38</v>
      </c>
      <c r="C626" s="7">
        <f>INDEX(Sheet2!$B$2:$B$65,$B626+1)</f>
        <v>4139469664</v>
      </c>
      <c r="D626" s="7">
        <f>INDEX(Sheet2!$C$2:$C$65,$B626+1)</f>
        <v>16</v>
      </c>
      <c r="E626" s="7">
        <f>INDEX(Sheet2!$D$2:$D$65,$B626+1)</f>
        <v>7</v>
      </c>
      <c r="F626" s="7">
        <f>INDEX(Sheet3!$AY$2:$BN$11,$A626,$E626+1)</f>
        <v>0</v>
      </c>
      <c r="G626" s="7">
        <f>IF($B626&lt;16,_xlfn.BITOR(_xlfn.BITAND($K625,$L625),_xlfn.BITAND(4294967295-$K625,$M625)),IF($B626&lt;32,_xlfn.BITOR(_xlfn.BITAND($M625,$K625),_xlfn.BITAND(4294967295-$M625,$L625)),IF($B626&lt;48,_xlfn.BITXOR(_xlfn.BITXOR($K625,$L625),$M625),_xlfn.BITXOR($L625,_xlfn.BITOR($K625,4294967295-$M625)))))</f>
        <v>4207839108</v>
      </c>
      <c r="H626" s="7">
        <f>MOD($G626+$J625+$C626+$F626,4294967296)</f>
        <v>3807667518</v>
      </c>
      <c r="I626" s="7">
        <f>MOD($H626,2^(32-$D626))*2^$D626+INT($H626/2^(32-$D626))</f>
        <v>1698620148</v>
      </c>
      <c r="J626" s="7">
        <f>$M625</f>
        <v>2306032898</v>
      </c>
      <c r="K626" s="7">
        <f>MOD($K625+$I626,4294967296)</f>
        <v>2913850362</v>
      </c>
      <c r="L626" s="7">
        <f>$K625</f>
        <v>1215230214</v>
      </c>
      <c r="M626" s="7">
        <f>$L625</f>
        <v>1003697024</v>
      </c>
    </row>
    <row r="627" spans="1:13">
      <c r="A627" s="7">
        <v>10</v>
      </c>
      <c r="B627" s="7">
        <v>39</v>
      </c>
      <c r="C627" s="7">
        <f>INDEX(Sheet2!$B$2:$B$65,$B627+1)</f>
        <v>3200236656</v>
      </c>
      <c r="D627" s="7">
        <f>INDEX(Sheet2!$C$2:$C$65,$B627+1)</f>
        <v>23</v>
      </c>
      <c r="E627" s="7">
        <f>INDEX(Sheet2!$D$2:$D$65,$B627+1)</f>
        <v>10</v>
      </c>
      <c r="F627" s="7">
        <f>INDEX(Sheet3!$AY$2:$BN$11,$A627,$E627+1)</f>
        <v>0</v>
      </c>
      <c r="G627" s="7">
        <f>IF($B627&lt;16,_xlfn.BITOR(_xlfn.BITAND($K626,$L626),_xlfn.BITAND(4294967295-$K626,$M626)),IF($B627&lt;32,_xlfn.BITOR(_xlfn.BITAND($M626,$K626),_xlfn.BITAND(4294967295-$M626,$L626)),IF($B627&lt;48,_xlfn.BITXOR(_xlfn.BITXOR($K626,$L626),$M626),_xlfn.BITXOR($L626,_xlfn.BITOR($K626,4294967295-$M626)))))</f>
        <v>3725595004</v>
      </c>
      <c r="H627" s="7">
        <f>MOD($G627+$J626+$C627+$F627,4294967296)</f>
        <v>641929966</v>
      </c>
      <c r="I627" s="7">
        <f>MOD($H627,2^(32-$D627))*2^$D627+INT($H627/2^(32-$D627))</f>
        <v>1997742473</v>
      </c>
      <c r="J627" s="7">
        <f>$M626</f>
        <v>1003697024</v>
      </c>
      <c r="K627" s="7">
        <f>MOD($K626+$I627,4294967296)</f>
        <v>616625539</v>
      </c>
      <c r="L627" s="7">
        <f>$K626</f>
        <v>2913850362</v>
      </c>
      <c r="M627" s="7">
        <f>$L626</f>
        <v>1215230214</v>
      </c>
    </row>
    <row r="628" spans="1:13">
      <c r="A628" s="7">
        <v>10</v>
      </c>
      <c r="B628" s="7">
        <v>40</v>
      </c>
      <c r="C628" s="7">
        <f>INDEX(Sheet2!$B$2:$B$65,$B628+1)</f>
        <v>681279174</v>
      </c>
      <c r="D628" s="7">
        <f>INDEX(Sheet2!$C$2:$C$65,$B628+1)</f>
        <v>4</v>
      </c>
      <c r="E628" s="7">
        <f>INDEX(Sheet2!$D$2:$D$65,$B628+1)</f>
        <v>13</v>
      </c>
      <c r="F628" s="7">
        <f>INDEX(Sheet3!$AY$2:$BN$11,$A628,$E628+1)</f>
        <v>0</v>
      </c>
      <c r="G628" s="7">
        <f>IF($B628&lt;16,_xlfn.BITOR(_xlfn.BITAND($K627,$L627),_xlfn.BITAND(4294967295-$K627,$M627)),IF($B628&lt;32,_xlfn.BITOR(_xlfn.BITAND($M627,$K627),_xlfn.BITAND(4294967295-$M627,$L627)),IF($B628&lt;48,_xlfn.BITXOR(_xlfn.BITXOR($K627,$L627),$M627),_xlfn.BITXOR($L627,_xlfn.BITOR($K627,4294967295-$M627)))))</f>
        <v>3238254463</v>
      </c>
      <c r="H628" s="7">
        <f>MOD($G628+$J627+$C628+$F628,4294967296)</f>
        <v>628263365</v>
      </c>
      <c r="I628" s="7">
        <f>MOD($H628,2^(32-$D628))*2^$D628+INT($H628/2^(32-$D628))</f>
        <v>1462279250</v>
      </c>
      <c r="J628" s="7">
        <f>$M627</f>
        <v>1215230214</v>
      </c>
      <c r="K628" s="7">
        <f>MOD($K627+$I628,4294967296)</f>
        <v>2078904789</v>
      </c>
      <c r="L628" s="7">
        <f>$K627</f>
        <v>616625539</v>
      </c>
      <c r="M628" s="7">
        <f>$L627</f>
        <v>2913850362</v>
      </c>
    </row>
    <row r="629" spans="1:13">
      <c r="A629" s="7">
        <v>10</v>
      </c>
      <c r="B629" s="7">
        <v>41</v>
      </c>
      <c r="C629" s="7">
        <f>INDEX(Sheet2!$B$2:$B$65,$B629+1)</f>
        <v>3936430074</v>
      </c>
      <c r="D629" s="7">
        <f>INDEX(Sheet2!$C$2:$C$65,$B629+1)</f>
        <v>11</v>
      </c>
      <c r="E629" s="7">
        <f>INDEX(Sheet2!$D$2:$D$65,$B629+1)</f>
        <v>0</v>
      </c>
      <c r="F629" s="7">
        <f>INDEX(Sheet3!$AY$2:$BN$11,$A629,$E629+1)</f>
        <v>1701654643</v>
      </c>
      <c r="G629" s="7">
        <f>IF($B629&lt;16,_xlfn.BITOR(_xlfn.BITAND($K628,$L628),_xlfn.BITAND(4294967295-$K628,$M628)),IF($B629&lt;32,_xlfn.BITOR(_xlfn.BITAND($M628,$K628),_xlfn.BITAND(4294967295-$M628,$L628)),IF($B629&lt;48,_xlfn.BITXOR(_xlfn.BITXOR($K628,$L628),$M628),_xlfn.BITXOR($L628,_xlfn.BITOR($K628,4294967295-$M628)))))</f>
        <v>4068784044</v>
      </c>
      <c r="H629" s="7">
        <f>MOD($G629+$J628+$C629+$F629,4294967296)</f>
        <v>2332164383</v>
      </c>
      <c r="I629" s="7">
        <f>MOD($H629,2^(32-$D629))*2^$D629+INT($H629/2^(32-$D629))</f>
        <v>269024344</v>
      </c>
      <c r="J629" s="7">
        <f>$M628</f>
        <v>2913850362</v>
      </c>
      <c r="K629" s="7">
        <f>MOD($K628+$I629,4294967296)</f>
        <v>2347929133</v>
      </c>
      <c r="L629" s="7">
        <f>$K628</f>
        <v>2078904789</v>
      </c>
      <c r="M629" s="7">
        <f>$L628</f>
        <v>616625539</v>
      </c>
    </row>
    <row r="630" spans="1:13">
      <c r="A630" s="7">
        <v>10</v>
      </c>
      <c r="B630" s="7">
        <v>42</v>
      </c>
      <c r="C630" s="7">
        <f>INDEX(Sheet2!$B$2:$B$65,$B630+1)</f>
        <v>3572445317</v>
      </c>
      <c r="D630" s="7">
        <f>INDEX(Sheet2!$C$2:$C$65,$B630+1)</f>
        <v>16</v>
      </c>
      <c r="E630" s="7">
        <f>INDEX(Sheet2!$D$2:$D$65,$B630+1)</f>
        <v>3</v>
      </c>
      <c r="F630" s="7">
        <f>INDEX(Sheet3!$AY$2:$BN$11,$A630,$E630+1)</f>
        <v>1953248371</v>
      </c>
      <c r="G630" s="7">
        <f>IF($B630&lt;16,_xlfn.BITOR(_xlfn.BITAND($K629,$L629),_xlfn.BITAND(4294967295-$K629,$M629)),IF($B630&lt;32,_xlfn.BITOR(_xlfn.BITAND($M629,$K629),_xlfn.BITAND(4294967295-$M629,$L629)),IF($B630&lt;48,_xlfn.BITXOR(_xlfn.BITXOR($K629,$L629),$M629),_xlfn.BITXOR($L629,_xlfn.BITOR($K629,4294967295-$M629)))))</f>
        <v>3571182203</v>
      </c>
      <c r="H630" s="7">
        <f>MOD($G630+$J629+$C630+$F630,4294967296)</f>
        <v>3420791661</v>
      </c>
      <c r="I630" s="7">
        <f>MOD($H630,2^(32-$D630))*2^$D630+INT($H630/2^(32-$D630))</f>
        <v>594398181</v>
      </c>
      <c r="J630" s="7">
        <f>$M629</f>
        <v>616625539</v>
      </c>
      <c r="K630" s="7">
        <f>MOD($K629+$I630,4294967296)</f>
        <v>2942327314</v>
      </c>
      <c r="L630" s="7">
        <f>$K629</f>
        <v>2347929133</v>
      </c>
      <c r="M630" s="7">
        <f>$L629</f>
        <v>2078904789</v>
      </c>
    </row>
    <row r="631" spans="1:13">
      <c r="A631" s="7">
        <v>10</v>
      </c>
      <c r="B631" s="7">
        <v>43</v>
      </c>
      <c r="C631" s="7">
        <f>INDEX(Sheet2!$B$2:$B$65,$B631+1)</f>
        <v>76029189</v>
      </c>
      <c r="D631" s="7">
        <f>INDEX(Sheet2!$C$2:$C$65,$B631+1)</f>
        <v>23</v>
      </c>
      <c r="E631" s="7">
        <f>INDEX(Sheet2!$D$2:$D$65,$B631+1)</f>
        <v>6</v>
      </c>
      <c r="F631" s="7">
        <f>INDEX(Sheet3!$AY$2:$BN$11,$A631,$E631+1)</f>
        <v>0</v>
      </c>
      <c r="G631" s="7">
        <f>IF($B631&lt;16,_xlfn.BITOR(_xlfn.BITAND($K630,$L630),_xlfn.BITAND(4294967295-$K630,$M630)),IF($B631&lt;32,_xlfn.BITOR(_xlfn.BITAND($M630,$K630),_xlfn.BITAND(4294967295-$M630,$L630)),IF($B631&lt;48,_xlfn.BITXOR(_xlfn.BITXOR($K630,$L630),$M630),_xlfn.BITXOR($L630,_xlfn.BITOR($K630,4294967295-$M630)))))</f>
        <v>1601914346</v>
      </c>
      <c r="H631" s="7">
        <f>MOD($G631+$J630+$C631+$F631,4294967296)</f>
        <v>2294569074</v>
      </c>
      <c r="I631" s="7">
        <f>MOD($H631,2^(32-$D631))*2^$D631+INT($H631/2^(32-$D631))</f>
        <v>960782892</v>
      </c>
      <c r="J631" s="7">
        <f>$M630</f>
        <v>2078904789</v>
      </c>
      <c r="K631" s="7">
        <f>MOD($K630+$I631,4294967296)</f>
        <v>3903110206</v>
      </c>
      <c r="L631" s="7">
        <f>$K630</f>
        <v>2942327314</v>
      </c>
      <c r="M631" s="7">
        <f>$L630</f>
        <v>2347929133</v>
      </c>
    </row>
    <row r="632" spans="1:13">
      <c r="A632" s="7">
        <v>10</v>
      </c>
      <c r="B632" s="7">
        <v>44</v>
      </c>
      <c r="C632" s="7">
        <f>INDEX(Sheet2!$B$2:$B$65,$B632+1)</f>
        <v>3654602809</v>
      </c>
      <c r="D632" s="7">
        <f>INDEX(Sheet2!$C$2:$C$65,$B632+1)</f>
        <v>4</v>
      </c>
      <c r="E632" s="7">
        <f>INDEX(Sheet2!$D$2:$D$65,$B632+1)</f>
        <v>9</v>
      </c>
      <c r="F632" s="7">
        <f>INDEX(Sheet3!$AY$2:$BN$11,$A632,$E632+1)</f>
        <v>0</v>
      </c>
      <c r="G632" s="7">
        <f>IF($B632&lt;16,_xlfn.BITOR(_xlfn.BITAND($K631,$L631),_xlfn.BITAND(4294967295-$K631,$M631)),IF($B632&lt;32,_xlfn.BITOR(_xlfn.BITAND($M631,$K631),_xlfn.BITAND(4294967295-$M631,$L631)),IF($B632&lt;48,_xlfn.BITXOR(_xlfn.BITXOR($K631,$L631),$M631),_xlfn.BITXOR($L631,_xlfn.BITOR($K631,4294967295-$M631)))))</f>
        <v>3426117633</v>
      </c>
      <c r="H632" s="7">
        <f>MOD($G632+$J631+$C632+$F632,4294967296)</f>
        <v>569690639</v>
      </c>
      <c r="I632" s="7">
        <f>MOD($H632,2^(32-$D632))*2^$D632+INT($H632/2^(32-$D632))</f>
        <v>525115634</v>
      </c>
      <c r="J632" s="7">
        <f>$M631</f>
        <v>2347929133</v>
      </c>
      <c r="K632" s="7">
        <f>MOD($K631+$I632,4294967296)</f>
        <v>133258544</v>
      </c>
      <c r="L632" s="7">
        <f>$K631</f>
        <v>3903110206</v>
      </c>
      <c r="M632" s="7">
        <f>$L631</f>
        <v>2942327314</v>
      </c>
    </row>
    <row r="633" spans="1:13">
      <c r="A633" s="7">
        <v>10</v>
      </c>
      <c r="B633" s="7">
        <v>45</v>
      </c>
      <c r="C633" s="7">
        <f>INDEX(Sheet2!$B$2:$B$65,$B633+1)</f>
        <v>3873151461</v>
      </c>
      <c r="D633" s="7">
        <f>INDEX(Sheet2!$C$2:$C$65,$B633+1)</f>
        <v>11</v>
      </c>
      <c r="E633" s="7">
        <f>INDEX(Sheet2!$D$2:$D$65,$B633+1)</f>
        <v>12</v>
      </c>
      <c r="F633" s="7">
        <f>INDEX(Sheet3!$AY$2:$BN$11,$A633,$E633+1)</f>
        <v>0</v>
      </c>
      <c r="G633" s="7">
        <f>IF($B633&lt;16,_xlfn.BITOR(_xlfn.BITAND($K632,$L632),_xlfn.BITAND(4294967295-$K632,$M632)),IF($B633&lt;32,_xlfn.BITOR(_xlfn.BITAND($M632,$K632),_xlfn.BITAND(4294967295-$M632,$L632)),IF($B633&lt;48,_xlfn.BITXOR(_xlfn.BITXOR($K632,$L632),$M632),_xlfn.BITXOR($L632,_xlfn.BITOR($K632,4294967295-$M632)))))</f>
        <v>1077263132</v>
      </c>
      <c r="H633" s="7">
        <f>MOD($G633+$J632+$C633+$F633,4294967296)</f>
        <v>3003376430</v>
      </c>
      <c r="I633" s="7">
        <f>MOD($H633,2^(32-$D633))*2^$D633+INT($H633/2^(32-$D633))</f>
        <v>521762200</v>
      </c>
      <c r="J633" s="7">
        <f>$M632</f>
        <v>2942327314</v>
      </c>
      <c r="K633" s="7">
        <f>MOD($K632+$I633,4294967296)</f>
        <v>655020744</v>
      </c>
      <c r="L633" s="7">
        <f>$K632</f>
        <v>133258544</v>
      </c>
      <c r="M633" s="7">
        <f>$L632</f>
        <v>3903110206</v>
      </c>
    </row>
    <row r="634" spans="1:13">
      <c r="A634" s="7">
        <v>10</v>
      </c>
      <c r="B634" s="7">
        <v>46</v>
      </c>
      <c r="C634" s="7">
        <f>INDEX(Sheet2!$B$2:$B$65,$B634+1)</f>
        <v>530742520</v>
      </c>
      <c r="D634" s="7">
        <f>INDEX(Sheet2!$C$2:$C$65,$B634+1)</f>
        <v>16</v>
      </c>
      <c r="E634" s="7">
        <f>INDEX(Sheet2!$D$2:$D$65,$B634+1)</f>
        <v>15</v>
      </c>
      <c r="F634" s="7">
        <f>INDEX(Sheet3!$AY$2:$BN$11,$A634,$E634+1)</f>
        <v>0</v>
      </c>
      <c r="G634" s="7">
        <f>IF($B634&lt;16,_xlfn.BITOR(_xlfn.BITAND($K633,$L633),_xlfn.BITAND(4294967295-$K633,$M633)),IF($B634&lt;32,_xlfn.BITOR(_xlfn.BITAND($M633,$K633),_xlfn.BITAND(4294967295-$M633,$L633)),IF($B634&lt;48,_xlfn.BITXOR(_xlfn.BITXOR($K633,$L633),$M633),_xlfn.BITXOR($L633,_xlfn.BITOR($K633,4294967295-$M633)))))</f>
        <v>3361682374</v>
      </c>
      <c r="H634" s="7">
        <f>MOD($G634+$J633+$C634+$F634,4294967296)</f>
        <v>2539784912</v>
      </c>
      <c r="I634" s="7">
        <f>MOD($H634,2^(32-$D634))*2^$D634+INT($H634/2^(32-$D634))</f>
        <v>181442402</v>
      </c>
      <c r="J634" s="7">
        <f>$M633</f>
        <v>3903110206</v>
      </c>
      <c r="K634" s="7">
        <f>MOD($K633+$I634,4294967296)</f>
        <v>836463146</v>
      </c>
      <c r="L634" s="7">
        <f>$K633</f>
        <v>655020744</v>
      </c>
      <c r="M634" s="7">
        <f>$L633</f>
        <v>133258544</v>
      </c>
    </row>
    <row r="635" spans="1:13">
      <c r="A635" s="7">
        <v>10</v>
      </c>
      <c r="B635" s="7">
        <v>47</v>
      </c>
      <c r="C635" s="7">
        <f>INDEX(Sheet2!$B$2:$B$65,$B635+1)</f>
        <v>3299628645</v>
      </c>
      <c r="D635" s="7">
        <f>INDEX(Sheet2!$C$2:$C$65,$B635+1)</f>
        <v>23</v>
      </c>
      <c r="E635" s="7">
        <f>INDEX(Sheet2!$D$2:$D$65,$B635+1)</f>
        <v>2</v>
      </c>
      <c r="F635" s="7">
        <f>INDEX(Sheet3!$AY$2:$BN$11,$A635,$E635+1)</f>
        <v>1601792820</v>
      </c>
      <c r="G635" s="7">
        <f>IF($B635&lt;16,_xlfn.BITOR(_xlfn.BITAND($K634,$L634),_xlfn.BITAND(4294967295-$K634,$M634)),IF($B635&lt;32,_xlfn.BITOR(_xlfn.BITAND($M634,$K634),_xlfn.BITAND(4294967295-$M634,$L634)),IF($B635&lt;48,_xlfn.BITXOR(_xlfn.BITXOR($K634,$L634),$M634),_xlfn.BITXOR($L634,_xlfn.BITOR($K634,4294967295-$M634)))))</f>
        <v>287368658</v>
      </c>
      <c r="H635" s="7">
        <f>MOD($G635+$J634+$C635+$F635,4294967296)</f>
        <v>501965737</v>
      </c>
      <c r="I635" s="7">
        <f>MOD($H635,2^(32-$D635))*2^$D635+INT($H635/2^(32-$D635))</f>
        <v>3566138801</v>
      </c>
      <c r="J635" s="7">
        <f>$M634</f>
        <v>133258544</v>
      </c>
      <c r="K635" s="7">
        <f>MOD($K634+$I635,4294967296)</f>
        <v>107634651</v>
      </c>
      <c r="L635" s="7">
        <f>$K634</f>
        <v>836463146</v>
      </c>
      <c r="M635" s="7">
        <f>$L634</f>
        <v>655020744</v>
      </c>
    </row>
    <row r="636" spans="1:13">
      <c r="A636" s="7">
        <v>10</v>
      </c>
      <c r="B636" s="7">
        <v>48</v>
      </c>
      <c r="C636" s="7">
        <f>INDEX(Sheet2!$B$2:$B$65,$B636+1)</f>
        <v>4096336452</v>
      </c>
      <c r="D636" s="7">
        <f>INDEX(Sheet2!$C$2:$C$65,$B636+1)</f>
        <v>6</v>
      </c>
      <c r="E636" s="7">
        <f>INDEX(Sheet2!$D$2:$D$65,$B636+1)</f>
        <v>0</v>
      </c>
      <c r="F636" s="7">
        <f>INDEX(Sheet3!$AY$2:$BN$11,$A636,$E636+1)</f>
        <v>1701654643</v>
      </c>
      <c r="G636" s="7">
        <f>IF($B636&lt;16,_xlfn.BITOR(_xlfn.BITAND($K635,$L635),_xlfn.BITAND(4294967295-$K635,$M635)),IF($B636&lt;32,_xlfn.BITOR(_xlfn.BITAND($M635,$K635),_xlfn.BITAND(4294967295-$M635,$L635)),IF($B636&lt;48,_xlfn.BITXOR(_xlfn.BITXOR($K635,$L635),$M635),_xlfn.BITXOR($L635,_xlfn.BITOR($K635,4294967295-$M635)))))</f>
        <v>4012119509</v>
      </c>
      <c r="H636" s="7">
        <f>MOD($G636+$J635+$C636+$F636,4294967296)</f>
        <v>1353434556</v>
      </c>
      <c r="I636" s="7">
        <f>MOD($H636,2^(32-$D636))*2^$D636+INT($H636/2^(32-$D636))</f>
        <v>720465684</v>
      </c>
      <c r="J636" s="7">
        <f>$M635</f>
        <v>655020744</v>
      </c>
      <c r="K636" s="7">
        <f>MOD($K635+$I636,4294967296)</f>
        <v>828100335</v>
      </c>
      <c r="L636" s="7">
        <f>$K635</f>
        <v>107634651</v>
      </c>
      <c r="M636" s="7">
        <f>$L635</f>
        <v>836463146</v>
      </c>
    </row>
    <row r="637" spans="1:13">
      <c r="A637" s="7">
        <v>10</v>
      </c>
      <c r="B637" s="7">
        <v>49</v>
      </c>
      <c r="C637" s="7">
        <f>INDEX(Sheet2!$B$2:$B$65,$B637+1)</f>
        <v>1126891415</v>
      </c>
      <c r="D637" s="7">
        <f>INDEX(Sheet2!$C$2:$C$65,$B637+1)</f>
        <v>10</v>
      </c>
      <c r="E637" s="7">
        <f>INDEX(Sheet2!$D$2:$D$65,$B637+1)</f>
        <v>7</v>
      </c>
      <c r="F637" s="7">
        <f>INDEX(Sheet3!$AY$2:$BN$11,$A637,$E637+1)</f>
        <v>0</v>
      </c>
      <c r="G637" s="7">
        <f>IF($B637&lt;16,_xlfn.BITOR(_xlfn.BITAND($K636,$L636),_xlfn.BITAND(4294967295-$K636,$M636)),IF($B637&lt;32,_xlfn.BITOR(_xlfn.BITAND($M636,$K636),_xlfn.BITAND(4294967295-$M636,$L636)),IF($B637&lt;48,_xlfn.BITXOR(_xlfn.BITXOR($K636,$L636),$M636),_xlfn.BITXOR($L636,_xlfn.BITOR($K636,4294967295-$M636)))))</f>
        <v>4178935844</v>
      </c>
      <c r="H637" s="7">
        <f>MOD($G637+$J636+$C637+$F637,4294967296)</f>
        <v>1665880707</v>
      </c>
      <c r="I637" s="7">
        <f>MOD($H637,2^(32-$D637))*2^$D637+INT($H637/2^(32-$D637))</f>
        <v>759827853</v>
      </c>
      <c r="J637" s="7">
        <f>$M636</f>
        <v>836463146</v>
      </c>
      <c r="K637" s="7">
        <f>MOD($K636+$I637,4294967296)</f>
        <v>1587928188</v>
      </c>
      <c r="L637" s="7">
        <f>$K636</f>
        <v>828100335</v>
      </c>
      <c r="M637" s="7">
        <f>$L636</f>
        <v>107634651</v>
      </c>
    </row>
    <row r="638" spans="1:13">
      <c r="A638" s="7">
        <v>10</v>
      </c>
      <c r="B638" s="7">
        <v>50</v>
      </c>
      <c r="C638" s="7">
        <f>INDEX(Sheet2!$B$2:$B$65,$B638+1)</f>
        <v>2878612391</v>
      </c>
      <c r="D638" s="7">
        <f>INDEX(Sheet2!$C$2:$C$65,$B638+1)</f>
        <v>15</v>
      </c>
      <c r="E638" s="7">
        <f>INDEX(Sheet2!$D$2:$D$65,$B638+1)</f>
        <v>14</v>
      </c>
      <c r="F638" s="7">
        <f>INDEX(Sheet3!$AY$2:$BN$11,$A638,$E638+1)</f>
        <v>152</v>
      </c>
      <c r="G638" s="7">
        <f>IF($B638&lt;16,_xlfn.BITOR(_xlfn.BITAND($K637,$L637),_xlfn.BITAND(4294967295-$K637,$M637)),IF($B638&lt;32,_xlfn.BITOR(_xlfn.BITAND($M637,$K637),_xlfn.BITAND(4294967295-$M637,$L637)),IF($B638&lt;48,_xlfn.BITXOR(_xlfn.BITXOR($K637,$L637),$M637),_xlfn.BITXOR($L637,_xlfn.BITOR($K637,4294967295-$M637)))))</f>
        <v>3471717011</v>
      </c>
      <c r="H638" s="7">
        <f>MOD($G638+$J637+$C638+$F638,4294967296)</f>
        <v>2891825404</v>
      </c>
      <c r="I638" s="7">
        <f>MOD($H638,2^(32-$D638))*2^$D638+INT($H638/2^(32-$D638))</f>
        <v>3766375982</v>
      </c>
      <c r="J638" s="7">
        <f>$M637</f>
        <v>107634651</v>
      </c>
      <c r="K638" s="7">
        <f>MOD($K637+$I638,4294967296)</f>
        <v>1059336874</v>
      </c>
      <c r="L638" s="7">
        <f>$K637</f>
        <v>1587928188</v>
      </c>
      <c r="M638" s="7">
        <f>$L637</f>
        <v>828100335</v>
      </c>
    </row>
    <row r="639" spans="1:13">
      <c r="A639" s="7">
        <v>10</v>
      </c>
      <c r="B639" s="7">
        <v>51</v>
      </c>
      <c r="C639" s="7">
        <f>INDEX(Sheet2!$B$2:$B$65,$B639+1)</f>
        <v>4237533241</v>
      </c>
      <c r="D639" s="7">
        <f>INDEX(Sheet2!$C$2:$C$65,$B639+1)</f>
        <v>21</v>
      </c>
      <c r="E639" s="7">
        <f>INDEX(Sheet2!$D$2:$D$65,$B639+1)</f>
        <v>5</v>
      </c>
      <c r="F639" s="7">
        <f>INDEX(Sheet3!$AY$2:$BN$11,$A639,$E639+1)</f>
        <v>0</v>
      </c>
      <c r="G639" s="7">
        <f>IF($B639&lt;16,_xlfn.BITOR(_xlfn.BITAND($K638,$L638),_xlfn.BITAND(4294967295-$K638,$M638)),IF($B639&lt;32,_xlfn.BITOR(_xlfn.BITAND($M638,$K638),_xlfn.BITAND(4294967295-$M638,$L638)),IF($B639&lt;48,_xlfn.BITXOR(_xlfn.BITXOR($K638,$L638),$M638),_xlfn.BITXOR($L638,_xlfn.BITOR($K638,4294967295-$M638)))))</f>
        <v>2701258694</v>
      </c>
      <c r="H639" s="7">
        <f>MOD($G639+$J638+$C639+$F639,4294967296)</f>
        <v>2751459290</v>
      </c>
      <c r="I639" s="7">
        <f>MOD($H639,2^(32-$D639))*2^$D639+INT($H639/2^(32-$D639))</f>
        <v>4216619005</v>
      </c>
      <c r="J639" s="7">
        <f>$M638</f>
        <v>828100335</v>
      </c>
      <c r="K639" s="7">
        <f>MOD($K638+$I639,4294967296)</f>
        <v>980988583</v>
      </c>
      <c r="L639" s="7">
        <f>$K638</f>
        <v>1059336874</v>
      </c>
      <c r="M639" s="7">
        <f>$L638</f>
        <v>1587928188</v>
      </c>
    </row>
    <row r="640" spans="1:13">
      <c r="A640" s="7">
        <v>10</v>
      </c>
      <c r="B640" s="7">
        <v>52</v>
      </c>
      <c r="C640" s="7">
        <f>INDEX(Sheet2!$B$2:$B$65,$B640+1)</f>
        <v>1700485571</v>
      </c>
      <c r="D640" s="7">
        <f>INDEX(Sheet2!$C$2:$C$65,$B640+1)</f>
        <v>6</v>
      </c>
      <c r="E640" s="7">
        <f>INDEX(Sheet2!$D$2:$D$65,$B640+1)</f>
        <v>12</v>
      </c>
      <c r="F640" s="7">
        <f>INDEX(Sheet3!$AY$2:$BN$11,$A640,$E640+1)</f>
        <v>0</v>
      </c>
      <c r="G640" s="7">
        <f>IF($B640&lt;16,_xlfn.BITOR(_xlfn.BITAND($K639,$L639),_xlfn.BITAND(4294967295-$K639,$M639)),IF($B640&lt;32,_xlfn.BITOR(_xlfn.BITAND($M639,$K639),_xlfn.BITAND(4294967295-$M639,$L639)),IF($B640&lt;48,_xlfn.BITXOR(_xlfn.BITXOR($K639,$L639),$M639),_xlfn.BITXOR($L639,_xlfn.BITOR($K639,4294967295-$M639)))))</f>
        <v>2220785933</v>
      </c>
      <c r="H640" s="7">
        <f>MOD($G640+$J639+$C640+$F640,4294967296)</f>
        <v>454404543</v>
      </c>
      <c r="I640" s="7">
        <f>MOD($H640,2^(32-$D640))*2^$D640+INT($H640/2^(32-$D640))</f>
        <v>3312086982</v>
      </c>
      <c r="J640" s="7">
        <f>$M639</f>
        <v>1587928188</v>
      </c>
      <c r="K640" s="7">
        <f>MOD($K639+$I640,4294967296)</f>
        <v>4293075565</v>
      </c>
      <c r="L640" s="7">
        <f>$K639</f>
        <v>980988583</v>
      </c>
      <c r="M640" s="7">
        <f>$L639</f>
        <v>1059336874</v>
      </c>
    </row>
    <row r="641" spans="1:13">
      <c r="A641" s="7">
        <v>10</v>
      </c>
      <c r="B641" s="7">
        <v>53</v>
      </c>
      <c r="C641" s="7">
        <f>INDEX(Sheet2!$B$2:$B$65,$B641+1)</f>
        <v>2399980690</v>
      </c>
      <c r="D641" s="7">
        <f>INDEX(Sheet2!$C$2:$C$65,$B641+1)</f>
        <v>10</v>
      </c>
      <c r="E641" s="7">
        <f>INDEX(Sheet2!$D$2:$D$65,$B641+1)</f>
        <v>3</v>
      </c>
      <c r="F641" s="7">
        <f>INDEX(Sheet3!$AY$2:$BN$11,$A641,$E641+1)</f>
        <v>1953248371</v>
      </c>
      <c r="G641" s="7">
        <f>IF($B641&lt;16,_xlfn.BITOR(_xlfn.BITAND($K640,$L640),_xlfn.BITAND(4294967295-$K640,$M640)),IF($B641&lt;32,_xlfn.BITOR(_xlfn.BITAND($M640,$K640),_xlfn.BITAND(4294967295-$M640,$L640)),IF($B641&lt;48,_xlfn.BITXOR(_xlfn.BITXOR($K640,$L640),$M640),_xlfn.BITXOR($L640,_xlfn.BITOR($K640,4294967295-$M640)))))</f>
        <v>3313720794</v>
      </c>
      <c r="H641" s="7">
        <f>MOD($G641+$J640+$C641+$F641,4294967296)</f>
        <v>664943451</v>
      </c>
      <c r="I641" s="7">
        <f>MOD($H641,2^(32-$D641))*2^$D641+INT($H641/2^(32-$D641))</f>
        <v>2297261214</v>
      </c>
      <c r="J641" s="7">
        <f>$M640</f>
        <v>1059336874</v>
      </c>
      <c r="K641" s="7">
        <f>MOD($K640+$I641,4294967296)</f>
        <v>2295369483</v>
      </c>
      <c r="L641" s="7">
        <f>$K640</f>
        <v>4293075565</v>
      </c>
      <c r="M641" s="7">
        <f>$L640</f>
        <v>980988583</v>
      </c>
    </row>
    <row r="642" spans="1:13">
      <c r="A642" s="7">
        <v>10</v>
      </c>
      <c r="B642" s="7">
        <v>54</v>
      </c>
      <c r="C642" s="7">
        <f>INDEX(Sheet2!$B$2:$B$65,$B642+1)</f>
        <v>4293915773</v>
      </c>
      <c r="D642" s="7">
        <f>INDEX(Sheet2!$C$2:$C$65,$B642+1)</f>
        <v>15</v>
      </c>
      <c r="E642" s="7">
        <f>INDEX(Sheet2!$D$2:$D$65,$B642+1)</f>
        <v>10</v>
      </c>
      <c r="F642" s="7">
        <f>INDEX(Sheet3!$AY$2:$BN$11,$A642,$E642+1)</f>
        <v>0</v>
      </c>
      <c r="G642" s="7">
        <f>IF($B642&lt;16,_xlfn.BITOR(_xlfn.BITAND($K641,$L641),_xlfn.BITAND(4294967295-$K641,$M641)),IF($B642&lt;32,_xlfn.BITOR(_xlfn.BITAND($M641,$K641),_xlfn.BITAND(4294967295-$M641,$L641)),IF($B642&lt;48,_xlfn.BITXOR(_xlfn.BITXOR($K641,$L641),$M641),_xlfn.BITXOR($L641,_xlfn.BITOR($K641,4294967295-$M641)))))</f>
        <v>842329398</v>
      </c>
      <c r="H642" s="7">
        <f>MOD($G642+$J641+$C642+$F642,4294967296)</f>
        <v>1900614749</v>
      </c>
      <c r="I642" s="7">
        <f>MOD($H642,2^(32-$D642))*2^$D642+INT($H642/2^(32-$D642))</f>
        <v>2318317732</v>
      </c>
      <c r="J642" s="7">
        <f>$M641</f>
        <v>980988583</v>
      </c>
      <c r="K642" s="7">
        <f>MOD($K641+$I642,4294967296)</f>
        <v>318719919</v>
      </c>
      <c r="L642" s="7">
        <f>$K641</f>
        <v>2295369483</v>
      </c>
      <c r="M642" s="7">
        <f>$L641</f>
        <v>4293075565</v>
      </c>
    </row>
    <row r="643" spans="1:13">
      <c r="A643" s="7">
        <v>10</v>
      </c>
      <c r="B643" s="7">
        <v>55</v>
      </c>
      <c r="C643" s="7">
        <f>INDEX(Sheet2!$B$2:$B$65,$B643+1)</f>
        <v>2240044497</v>
      </c>
      <c r="D643" s="7">
        <f>INDEX(Sheet2!$C$2:$C$65,$B643+1)</f>
        <v>21</v>
      </c>
      <c r="E643" s="7">
        <f>INDEX(Sheet2!$D$2:$D$65,$B643+1)</f>
        <v>1</v>
      </c>
      <c r="F643" s="7">
        <f>INDEX(Sheet3!$AY$2:$BN$11,$A643,$E643+1)</f>
        <v>862876511</v>
      </c>
      <c r="G643" s="7">
        <f>IF($B643&lt;16,_xlfn.BITOR(_xlfn.BITAND($K642,$L642),_xlfn.BITAND(4294967295-$K642,$M642)),IF($B643&lt;32,_xlfn.BITOR(_xlfn.BITAND($M642,$K642),_xlfn.BITAND(4294967295-$M642,$L642)),IF($B643&lt;48,_xlfn.BITXOR(_xlfn.BITXOR($K642,$L642),$M642),_xlfn.BITXOR($L642,_xlfn.BITOR($K642,4294967295-$M642)))))</f>
        <v>2586792116</v>
      </c>
      <c r="H643" s="7">
        <f>MOD($G643+$J642+$C643+$F643,4294967296)</f>
        <v>2375734411</v>
      </c>
      <c r="I643" s="7">
        <f>MOD($H643,2^(32-$D643))*2^$D643+INT($H643/2^(32-$D643))</f>
        <v>2440147802</v>
      </c>
      <c r="J643" s="7">
        <f>$M642</f>
        <v>4293075565</v>
      </c>
      <c r="K643" s="7">
        <f>MOD($K642+$I643,4294967296)</f>
        <v>2758867721</v>
      </c>
      <c r="L643" s="7">
        <f>$K642</f>
        <v>318719919</v>
      </c>
      <c r="M643" s="7">
        <f>$L642</f>
        <v>2295369483</v>
      </c>
    </row>
    <row r="644" spans="1:13">
      <c r="A644" s="7">
        <v>10</v>
      </c>
      <c r="B644" s="7">
        <v>56</v>
      </c>
      <c r="C644" s="7">
        <f>INDEX(Sheet2!$B$2:$B$65,$B644+1)</f>
        <v>1873313359</v>
      </c>
      <c r="D644" s="7">
        <f>INDEX(Sheet2!$C$2:$C$65,$B644+1)</f>
        <v>6</v>
      </c>
      <c r="E644" s="7">
        <f>INDEX(Sheet2!$D$2:$D$65,$B644+1)</f>
        <v>8</v>
      </c>
      <c r="F644" s="7">
        <f>INDEX(Sheet3!$AY$2:$BN$11,$A644,$E644+1)</f>
        <v>0</v>
      </c>
      <c r="G644" s="7">
        <f>IF($B644&lt;16,_xlfn.BITOR(_xlfn.BITAND($K643,$L643),_xlfn.BITAND(4294967295-$K643,$M643)),IF($B644&lt;32,_xlfn.BITOR(_xlfn.BITAND($M643,$K643),_xlfn.BITAND(4294967295-$M643,$L643)),IF($B644&lt;48,_xlfn.BITXOR(_xlfn.BITXOR($K643,$L643),$M643),_xlfn.BITXOR($L643,_xlfn.BITOR($K643,4294967295-$M643)))))</f>
        <v>3850419282</v>
      </c>
      <c r="H644" s="7">
        <f>MOD($G644+$J643+$C644+$F644,4294967296)</f>
        <v>1426873614</v>
      </c>
      <c r="I644" s="7">
        <f>MOD($H644,2^(32-$D644))*2^$D644+INT($H644/2^(32-$D644))</f>
        <v>1125598101</v>
      </c>
      <c r="J644" s="7">
        <f>$M643</f>
        <v>2295369483</v>
      </c>
      <c r="K644" s="7">
        <f>MOD($K643+$I644,4294967296)</f>
        <v>3884465822</v>
      </c>
      <c r="L644" s="7">
        <f>$K643</f>
        <v>2758867721</v>
      </c>
      <c r="M644" s="7">
        <f>$L643</f>
        <v>318719919</v>
      </c>
    </row>
    <row r="645" spans="1:13">
      <c r="A645" s="7">
        <v>10</v>
      </c>
      <c r="B645" s="7">
        <v>57</v>
      </c>
      <c r="C645" s="7">
        <f>INDEX(Sheet2!$B$2:$B$65,$B645+1)</f>
        <v>4264355552</v>
      </c>
      <c r="D645" s="7">
        <f>INDEX(Sheet2!$C$2:$C$65,$B645+1)</f>
        <v>10</v>
      </c>
      <c r="E645" s="7">
        <f>INDEX(Sheet2!$D$2:$D$65,$B645+1)</f>
        <v>15</v>
      </c>
      <c r="F645" s="7">
        <f>INDEX(Sheet3!$AY$2:$BN$11,$A645,$E645+1)</f>
        <v>0</v>
      </c>
      <c r="G645" s="7">
        <f>IF($B645&lt;16,_xlfn.BITOR(_xlfn.BITAND($K644,$L644),_xlfn.BITAND(4294967295-$K644,$M644)),IF($B645&lt;32,_xlfn.BITOR(_xlfn.BITAND($M644,$K644),_xlfn.BITAND(4294967295-$M644,$L644)),IF($B645&lt;48,_xlfn.BITXOR(_xlfn.BITXOR($K644,$L644),$M644),_xlfn.BITXOR($L644,_xlfn.BITOR($K644,4294967295-$M644)))))</f>
        <v>1274562007</v>
      </c>
      <c r="H645" s="7">
        <f>MOD($G645+$J644+$C645+$F645,4294967296)</f>
        <v>3539319746</v>
      </c>
      <c r="I645" s="7">
        <f>MOD($H645,2^(32-$D645))*2^$D645+INT($H645/2^(32-$D645))</f>
        <v>3605990219</v>
      </c>
      <c r="J645" s="7">
        <f>$M644</f>
        <v>318719919</v>
      </c>
      <c r="K645" s="7">
        <f>MOD($K644+$I645,4294967296)</f>
        <v>3195488745</v>
      </c>
      <c r="L645" s="7">
        <f>$K644</f>
        <v>3884465822</v>
      </c>
      <c r="M645" s="7">
        <f>$L644</f>
        <v>2758867721</v>
      </c>
    </row>
    <row r="646" spans="1:13">
      <c r="A646" s="7">
        <v>10</v>
      </c>
      <c r="B646" s="7">
        <v>58</v>
      </c>
      <c r="C646" s="7">
        <f>INDEX(Sheet2!$B$2:$B$65,$B646+1)</f>
        <v>2734768916</v>
      </c>
      <c r="D646" s="7">
        <f>INDEX(Sheet2!$C$2:$C$65,$B646+1)</f>
        <v>15</v>
      </c>
      <c r="E646" s="7">
        <f>INDEX(Sheet2!$D$2:$D$65,$B646+1)</f>
        <v>6</v>
      </c>
      <c r="F646" s="7">
        <f>INDEX(Sheet3!$AY$2:$BN$11,$A646,$E646+1)</f>
        <v>0</v>
      </c>
      <c r="G646" s="7">
        <f>IF($B646&lt;16,_xlfn.BITOR(_xlfn.BITAND($K645,$L645),_xlfn.BITAND(4294967295-$K645,$M645)),IF($B646&lt;32,_xlfn.BITOR(_xlfn.BITAND($M645,$K645),_xlfn.BITAND(4294967295-$M645,$L645)),IF($B646&lt;48,_xlfn.BITXOR(_xlfn.BITXOR($K645,$L645),$M645),_xlfn.BITXOR($L645,_xlfn.BITOR($K645,4294967295-$M645)))))</f>
        <v>410481505</v>
      </c>
      <c r="H646" s="7">
        <f>MOD($G646+$J645+$C646+$F646,4294967296)</f>
        <v>3463970340</v>
      </c>
      <c r="I646" s="7">
        <f>MOD($H646,2^(32-$D646))*2^$D646+INT($H646/2^(32-$D646))</f>
        <v>4279396155</v>
      </c>
      <c r="J646" s="7">
        <f>$M645</f>
        <v>2758867721</v>
      </c>
      <c r="K646" s="7">
        <f>MOD($K645+$I646,4294967296)</f>
        <v>3179917604</v>
      </c>
      <c r="L646" s="7">
        <f>$K645</f>
        <v>3195488745</v>
      </c>
      <c r="M646" s="7">
        <f>$L645</f>
        <v>3884465822</v>
      </c>
    </row>
    <row r="647" spans="1:13">
      <c r="A647" s="7">
        <v>10</v>
      </c>
      <c r="B647" s="7">
        <v>59</v>
      </c>
      <c r="C647" s="7">
        <f>INDEX(Sheet2!$B$2:$B$65,$B647+1)</f>
        <v>1309151649</v>
      </c>
      <c r="D647" s="7">
        <f>INDEX(Sheet2!$C$2:$C$65,$B647+1)</f>
        <v>21</v>
      </c>
      <c r="E647" s="7">
        <f>INDEX(Sheet2!$D$2:$D$65,$B647+1)</f>
        <v>13</v>
      </c>
      <c r="F647" s="7">
        <f>INDEX(Sheet3!$AY$2:$BN$11,$A647,$E647+1)</f>
        <v>0</v>
      </c>
      <c r="G647" s="7">
        <f>IF($B647&lt;16,_xlfn.BITOR(_xlfn.BITAND($K646,$L646),_xlfn.BITAND(4294967295-$K646,$M646)),IF($B647&lt;32,_xlfn.BITOR(_xlfn.BITAND($M646,$K646),_xlfn.BITAND(4294967295-$M646,$L646)),IF($B647&lt;48,_xlfn.BITXOR(_xlfn.BITXOR($K646,$L646),$M646),_xlfn.BITXOR($L646,_xlfn.BITOR($K646,4294967295-$M646)))))</f>
        <v>59291788</v>
      </c>
      <c r="H647" s="7">
        <f>MOD($G647+$J646+$C647+$F647,4294967296)</f>
        <v>4127311158</v>
      </c>
      <c r="I647" s="7">
        <f>MOD($H647,2^(32-$D647))*2^$D647+INT($H647/2^(32-$D647))</f>
        <v>2799616056</v>
      </c>
      <c r="J647" s="7">
        <f>$M646</f>
        <v>3884465822</v>
      </c>
      <c r="K647" s="7">
        <f>MOD($K646+$I647,4294967296)</f>
        <v>1684566364</v>
      </c>
      <c r="L647" s="7">
        <f>$K646</f>
        <v>3179917604</v>
      </c>
      <c r="M647" s="7">
        <f>$L646</f>
        <v>3195488745</v>
      </c>
    </row>
    <row r="648" spans="1:13">
      <c r="A648" s="7">
        <v>10</v>
      </c>
      <c r="B648" s="7">
        <v>60</v>
      </c>
      <c r="C648" s="7">
        <f>INDEX(Sheet2!$B$2:$B$65,$B648+1)</f>
        <v>4149444226</v>
      </c>
      <c r="D648" s="7">
        <f>INDEX(Sheet2!$C$2:$C$65,$B648+1)</f>
        <v>6</v>
      </c>
      <c r="E648" s="7">
        <f>INDEX(Sheet2!$D$2:$D$65,$B648+1)</f>
        <v>4</v>
      </c>
      <c r="F648" s="7">
        <f>INDEX(Sheet3!$AY$2:$BN$11,$A648,$E648+1)</f>
        <v>2151628607</v>
      </c>
      <c r="G648" s="7">
        <f>IF($B648&lt;16,_xlfn.BITOR(_xlfn.BITAND($K647,$L647),_xlfn.BITAND(4294967295-$K647,$M647)),IF($B648&lt;32,_xlfn.BITOR(_xlfn.BITAND($M647,$K647),_xlfn.BITAND(4294967295-$M647,$L647)),IF($B648&lt;48,_xlfn.BITXOR(_xlfn.BITXOR($K647,$L647),$M647),_xlfn.BITXOR($L647,_xlfn.BITOR($K647,4294967295-$M647)))))</f>
        <v>3630253690</v>
      </c>
      <c r="H648" s="7">
        <f>MOD($G648+$J647+$C648+$F648,4294967296)</f>
        <v>930890457</v>
      </c>
      <c r="I648" s="7">
        <f>MOD($H648,2^(32-$D648))*2^$D648+INT($H648/2^(32-$D648))</f>
        <v>3742414413</v>
      </c>
      <c r="J648" s="7">
        <f>$M647</f>
        <v>3195488745</v>
      </c>
      <c r="K648" s="7">
        <f>MOD($K647+$I648,4294967296)</f>
        <v>1132013481</v>
      </c>
      <c r="L648" s="7">
        <f>$K647</f>
        <v>1684566364</v>
      </c>
      <c r="M648" s="7">
        <f>$L647</f>
        <v>3179917604</v>
      </c>
    </row>
    <row r="649" spans="1:13">
      <c r="A649" s="7">
        <v>10</v>
      </c>
      <c r="B649" s="7">
        <v>61</v>
      </c>
      <c r="C649" s="7">
        <f>INDEX(Sheet2!$B$2:$B$65,$B649+1)</f>
        <v>3174756917</v>
      </c>
      <c r="D649" s="7">
        <f>INDEX(Sheet2!$C$2:$C$65,$B649+1)</f>
        <v>10</v>
      </c>
      <c r="E649" s="7">
        <f>INDEX(Sheet2!$D$2:$D$65,$B649+1)</f>
        <v>11</v>
      </c>
      <c r="F649" s="7">
        <f>INDEX(Sheet3!$AY$2:$BN$11,$A649,$E649+1)</f>
        <v>0</v>
      </c>
      <c r="G649" s="7">
        <f>IF($B649&lt;16,_xlfn.BITOR(_xlfn.BITAND($K648,$L648),_xlfn.BITAND(4294967295-$K648,$M648)),IF($B649&lt;32,_xlfn.BITOR(_xlfn.BITAND($M648,$K648),_xlfn.BITAND(4294967295-$M648,$L648)),IF($B649&lt;48,_xlfn.BITXOR(_xlfn.BITXOR($K648,$L648),$M648),_xlfn.BITXOR($L648,_xlfn.BITOR($K648,4294967295-$M648)))))</f>
        <v>655826599</v>
      </c>
      <c r="H649" s="7">
        <f>MOD($G649+$J648+$C649+$F649,4294967296)</f>
        <v>2731104965</v>
      </c>
      <c r="I649" s="7">
        <f>MOD($H649,2^(32-$D649))*2^$D649+INT($H649/2^(32-$D649))</f>
        <v>627775115</v>
      </c>
      <c r="J649" s="7">
        <f>$M648</f>
        <v>3179917604</v>
      </c>
      <c r="K649" s="7">
        <f>MOD($K648+$I649,4294967296)</f>
        <v>1759788596</v>
      </c>
      <c r="L649" s="7">
        <f>$K648</f>
        <v>1132013481</v>
      </c>
      <c r="M649" s="7">
        <f>$L648</f>
        <v>1684566364</v>
      </c>
    </row>
    <row r="650" spans="1:13">
      <c r="A650" s="7">
        <v>10</v>
      </c>
      <c r="B650" s="7">
        <v>62</v>
      </c>
      <c r="C650" s="7">
        <f>INDEX(Sheet2!$B$2:$B$65,$B650+1)</f>
        <v>718787259</v>
      </c>
      <c r="D650" s="7">
        <f>INDEX(Sheet2!$C$2:$C$65,$B650+1)</f>
        <v>15</v>
      </c>
      <c r="E650" s="7">
        <f>INDEX(Sheet2!$D$2:$D$65,$B650+1)</f>
        <v>2</v>
      </c>
      <c r="F650" s="7">
        <f>INDEX(Sheet3!$AY$2:$BN$11,$A650,$E650+1)</f>
        <v>1601792820</v>
      </c>
      <c r="G650" s="7">
        <f>IF($B650&lt;16,_xlfn.BITOR(_xlfn.BITAND($K649,$L649),_xlfn.BITAND(4294967295-$K649,$M649)),IF($B650&lt;32,_xlfn.BITOR(_xlfn.BITAND($M649,$K649),_xlfn.BITAND(4294967295-$M649,$L649)),IF($B650&lt;48,_xlfn.BITXOR(_xlfn.BITXOR($K649,$L649),$M649),_xlfn.BITXOR($L649,_xlfn.BITOR($K649,4294967295-$M649)))))</f>
        <v>3096353054</v>
      </c>
      <c r="H650" s="7">
        <f>MOD($G650+$J649+$C650+$F650,4294967296)</f>
        <v>6916145</v>
      </c>
      <c r="I650" s="7">
        <f>MOD($H650,2^(32-$D650))*2^$D650+INT($H650/2^(32-$D650))</f>
        <v>3289940020</v>
      </c>
      <c r="J650" s="7">
        <f>$M649</f>
        <v>1684566364</v>
      </c>
      <c r="K650" s="7">
        <f>MOD($K649+$I650,4294967296)</f>
        <v>754761320</v>
      </c>
      <c r="L650" s="7">
        <f>$K649</f>
        <v>1759788596</v>
      </c>
      <c r="M650" s="7">
        <f>$L649</f>
        <v>1132013481</v>
      </c>
    </row>
    <row r="651" spans="1:13">
      <c r="A651" s="7">
        <v>10</v>
      </c>
      <c r="B651" s="7">
        <v>63</v>
      </c>
      <c r="C651" s="7">
        <f>INDEX(Sheet2!$B$2:$B$65,$B651+1)</f>
        <v>3951481745</v>
      </c>
      <c r="D651" s="7">
        <f>INDEX(Sheet2!$C$2:$C$65,$B651+1)</f>
        <v>21</v>
      </c>
      <c r="E651" s="7">
        <f>INDEX(Sheet2!$D$2:$D$65,$B651+1)</f>
        <v>9</v>
      </c>
      <c r="F651" s="7">
        <f>INDEX(Sheet3!$AY$2:$BN$11,$A651,$E651+1)</f>
        <v>0</v>
      </c>
      <c r="G651" s="7">
        <f>IF($B651&lt;16,_xlfn.BITOR(_xlfn.BITAND($K650,$L650),_xlfn.BITAND(4294967295-$K650,$M650)),IF($B651&lt;32,_xlfn.BITOR(_xlfn.BITAND($M650,$K650),_xlfn.BITAND(4294967295-$M650,$L650)),IF($B651&lt;48,_xlfn.BITXOR(_xlfn.BITXOR($K650,$L650),$M650),_xlfn.BITXOR($L650,_xlfn.BITOR($K650,4294967295-$M650)))))</f>
        <v>3558522954</v>
      </c>
      <c r="H651" s="7">
        <f>MOD($G651+$J650+$C651+$F651,4294967296)</f>
        <v>604636471</v>
      </c>
      <c r="I651" s="7">
        <f>MOD($H651,2^(32-$D651))*2^$D651+INT($H651/2^(32-$D651))</f>
        <v>2799993152</v>
      </c>
      <c r="J651" s="7">
        <f>$M650</f>
        <v>1132013481</v>
      </c>
      <c r="K651" s="7">
        <f>MOD($K650+$I651,4294967296)</f>
        <v>3554754472</v>
      </c>
      <c r="L651" s="7">
        <f>$K650</f>
        <v>754761320</v>
      </c>
      <c r="M651" s="7">
        <f>$L650</f>
        <v>1759788596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2026-08-30T19:25:31Z</dcterms:created>
  <dcterms:modified xsi:type="dcterms:W3CDTF">2026-08-30T19:25:31Z</dcterms:modified>
</cp:coreProperties>
</file>